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313781C-3D8C-4831-895B-0AABBAB6B12F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სამახსოვრო" sheetId="2" r:id="rId1"/>
    <sheet name="if function 1" sheetId="3" r:id="rId2"/>
    <sheet name="If function 3" sheetId="4" r:id="rId3"/>
    <sheet name="if 4" sheetId="5" r:id="rId4"/>
    <sheet name="If 5" sheetId="6" r:id="rId5"/>
    <sheet name="AND &amp; OR &amp; NOT" sheetId="8" r:id="rId6"/>
    <sheet name="Cell Refferences" sheetId="7" r:id="rId7"/>
    <sheet name="IF AND OR" sheetId="9" r:id="rId8"/>
    <sheet name="if function in vat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9" l="1"/>
  <c r="D8" i="9"/>
  <c r="D9" i="9"/>
  <c r="D10" i="9"/>
  <c r="D11" i="9"/>
  <c r="D12" i="9"/>
  <c r="D13" i="9"/>
  <c r="D14" i="9"/>
  <c r="D15" i="9"/>
  <c r="D16" i="9"/>
  <c r="D17" i="9"/>
  <c r="D18" i="9"/>
  <c r="E18" i="9" s="1"/>
  <c r="D19" i="9"/>
  <c r="D20" i="9"/>
  <c r="D21" i="9"/>
  <c r="D22" i="9"/>
  <c r="E22" i="9" s="1"/>
  <c r="D23" i="9"/>
  <c r="D24" i="9"/>
  <c r="D25" i="9"/>
  <c r="D26" i="9"/>
  <c r="E26" i="9" s="1"/>
  <c r="D27" i="9"/>
  <c r="D28" i="9"/>
  <c r="D29" i="9"/>
  <c r="D30" i="9"/>
  <c r="E30" i="9" s="1"/>
  <c r="D31" i="9"/>
  <c r="D32" i="9"/>
  <c r="D33" i="9"/>
  <c r="D34" i="9"/>
  <c r="E34" i="9" s="1"/>
  <c r="D35" i="9"/>
  <c r="D6" i="9"/>
  <c r="E6" i="9" s="1"/>
  <c r="G6" i="6" a="1"/>
  <c r="G6" i="6"/>
  <c r="G7" i="6" a="1"/>
  <c r="G7" i="6"/>
  <c r="G8" i="6" a="1"/>
  <c r="G8" i="6"/>
  <c r="G9" i="6" a="1"/>
  <c r="G9" i="6"/>
  <c r="G10" i="6" a="1"/>
  <c r="G10" i="6"/>
  <c r="G11" i="6" a="1"/>
  <c r="G11" i="6"/>
  <c r="G12" i="6" a="1"/>
  <c r="G12" i="6"/>
  <c r="G13" i="6" a="1"/>
  <c r="G13" i="6"/>
  <c r="G14" i="6" a="1"/>
  <c r="G14" i="6"/>
  <c r="G15" i="6" a="1"/>
  <c r="G15" i="6"/>
  <c r="G16" i="6" a="1"/>
  <c r="G16" i="6"/>
  <c r="G17" i="6" a="1"/>
  <c r="G17" i="6"/>
  <c r="G18" i="6" a="1"/>
  <c r="G18" i="6"/>
  <c r="G19" i="6" a="1"/>
  <c r="G19" i="6"/>
  <c r="G20" i="6" a="1"/>
  <c r="G20" i="6"/>
  <c r="G21" i="6" a="1"/>
  <c r="G21" i="6"/>
  <c r="G22" i="6" a="1"/>
  <c r="G22" i="6"/>
  <c r="G23" i="6" a="1"/>
  <c r="G23" i="6"/>
  <c r="G24" i="6" a="1"/>
  <c r="G24" i="6"/>
  <c r="G25" i="6" a="1"/>
  <c r="G25" i="6"/>
  <c r="G26" i="6" a="1"/>
  <c r="G26" i="6"/>
  <c r="G27" i="6" a="1"/>
  <c r="G27" i="6"/>
  <c r="G28" i="6" a="1"/>
  <c r="G28" i="6"/>
  <c r="G29" i="6" a="1"/>
  <c r="G29" i="6"/>
  <c r="G5" i="6" a="1"/>
  <c r="G5" i="6" s="1"/>
  <c r="G12" i="5"/>
  <c r="G13" i="5"/>
  <c r="G14" i="5"/>
  <c r="G15" i="5"/>
  <c r="G16" i="5"/>
  <c r="G17" i="5"/>
  <c r="G18" i="5"/>
  <c r="G19" i="5"/>
  <c r="G20" i="5"/>
  <c r="G11" i="5"/>
  <c r="F12" i="5" a="1"/>
  <c r="F12" i="5"/>
  <c r="F13" i="5" a="1"/>
  <c r="F13" i="5"/>
  <c r="F14" i="5" a="1"/>
  <c r="F14" i="5"/>
  <c r="F15" i="5" a="1"/>
  <c r="F15" i="5"/>
  <c r="F16" i="5" a="1"/>
  <c r="F16" i="5"/>
  <c r="F17" i="5" a="1"/>
  <c r="F17" i="5"/>
  <c r="F18" i="5" a="1"/>
  <c r="F18" i="5"/>
  <c r="F19" i="5" a="1"/>
  <c r="F19" i="5"/>
  <c r="F20" i="5" a="1"/>
  <c r="F20" i="5"/>
  <c r="F11" i="5" a="1"/>
  <c r="F11" i="5" s="1"/>
  <c r="G2" i="11"/>
  <c r="H2" i="11"/>
  <c r="G3" i="11"/>
  <c r="H3" i="11"/>
  <c r="F4" i="11"/>
  <c r="G4" i="11"/>
  <c r="H4" i="11"/>
  <c r="G5" i="11"/>
  <c r="H5" i="11"/>
  <c r="G6" i="11"/>
  <c r="H6" i="11"/>
  <c r="F7" i="11"/>
  <c r="G7" i="11" s="1"/>
  <c r="H7" i="11"/>
  <c r="F8" i="11"/>
  <c r="G8" i="11" s="1"/>
  <c r="H8" i="11"/>
  <c r="E9" i="11"/>
  <c r="G9" i="11"/>
  <c r="H9" i="11"/>
  <c r="G10" i="11"/>
  <c r="H10" i="11"/>
  <c r="G11" i="11"/>
  <c r="H11" i="11"/>
  <c r="F12" i="11"/>
  <c r="G12" i="11" s="1"/>
  <c r="H12" i="11"/>
  <c r="G13" i="11"/>
  <c r="H13" i="11"/>
  <c r="E14" i="11"/>
  <c r="F14" i="11"/>
  <c r="G14" i="11" s="1"/>
  <c r="H14" i="11"/>
  <c r="E15" i="11"/>
  <c r="G15" i="11"/>
  <c r="H15" i="11"/>
  <c r="G16" i="11"/>
  <c r="H16" i="11"/>
  <c r="G17" i="11"/>
  <c r="H17" i="11"/>
  <c r="E35" i="9"/>
  <c r="E33" i="9"/>
  <c r="E32" i="9"/>
  <c r="E31" i="9"/>
  <c r="E29" i="9"/>
  <c r="E28" i="9"/>
  <c r="E27" i="9"/>
  <c r="E25" i="9"/>
  <c r="E24" i="9"/>
  <c r="E23" i="9"/>
  <c r="E21" i="9"/>
  <c r="E20" i="9"/>
  <c r="E19" i="9"/>
  <c r="E17" i="9"/>
  <c r="E16" i="9"/>
  <c r="E15" i="9"/>
  <c r="E14" i="9"/>
  <c r="E13" i="9"/>
  <c r="E12" i="9"/>
  <c r="E11" i="9"/>
  <c r="E10" i="9"/>
  <c r="E9" i="9"/>
  <c r="E8" i="9"/>
  <c r="E7" i="9"/>
  <c r="F14" i="9"/>
  <c r="B24" i="5"/>
  <c r="E18" i="11" l="1"/>
  <c r="G18" i="11"/>
  <c r="H18" i="11"/>
  <c r="F18" i="11"/>
  <c r="F5" i="8"/>
  <c r="G5" i="8"/>
  <c r="H5" i="8" s="1"/>
  <c r="I5" i="8"/>
  <c r="K5" i="8"/>
  <c r="F6" i="8"/>
  <c r="G6" i="8"/>
  <c r="H6" i="8"/>
  <c r="I6" i="8"/>
  <c r="K6" i="8"/>
  <c r="F7" i="8"/>
  <c r="G7" i="8"/>
  <c r="H7" i="8" s="1"/>
  <c r="I7" i="8"/>
  <c r="K7" i="8"/>
  <c r="F8" i="8"/>
  <c r="G8" i="8"/>
  <c r="H8" i="8"/>
  <c r="I8" i="8"/>
  <c r="K8" i="8"/>
  <c r="F9" i="8"/>
  <c r="G9" i="8"/>
  <c r="H9" i="8" s="1"/>
  <c r="I9" i="8"/>
  <c r="K9" i="8"/>
  <c r="F10" i="8"/>
  <c r="G10" i="8"/>
  <c r="H10" i="8" s="1"/>
  <c r="I10" i="8"/>
  <c r="K10" i="8"/>
  <c r="F11" i="8"/>
  <c r="G11" i="8"/>
  <c r="H11" i="8" s="1"/>
  <c r="I11" i="8"/>
  <c r="K11" i="8"/>
  <c r="F12" i="8"/>
  <c r="G12" i="8"/>
  <c r="H12" i="8"/>
  <c r="I12" i="8"/>
  <c r="K12" i="8"/>
  <c r="F13" i="8"/>
  <c r="G13" i="8"/>
  <c r="H13" i="8" s="1"/>
  <c r="I13" i="8"/>
  <c r="K13" i="8"/>
  <c r="F14" i="8"/>
  <c r="G14" i="8"/>
  <c r="H14" i="8" s="1"/>
  <c r="I14" i="8"/>
  <c r="K14" i="8"/>
  <c r="C11" i="7"/>
  <c r="C12" i="7"/>
  <c r="C13" i="7"/>
  <c r="C14" i="7"/>
  <c r="C15" i="7"/>
  <c r="C16" i="7"/>
  <c r="C17" i="7"/>
  <c r="D25" i="7"/>
  <c r="E25" i="7"/>
  <c r="D26" i="7"/>
  <c r="E26" i="7"/>
  <c r="D27" i="7"/>
  <c r="E27" i="7"/>
  <c r="D28" i="7"/>
  <c r="E28" i="7"/>
  <c r="D29" i="7"/>
  <c r="E29" i="7"/>
  <c r="F36" i="7"/>
  <c r="G36" i="7"/>
  <c r="H36" i="7"/>
  <c r="F37" i="7"/>
  <c r="G37" i="7"/>
  <c r="H37" i="7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E11" i="5"/>
  <c r="E12" i="5"/>
  <c r="E13" i="5"/>
  <c r="E14" i="5"/>
  <c r="E15" i="5"/>
  <c r="E16" i="5"/>
  <c r="E17" i="5"/>
  <c r="E18" i="5"/>
  <c r="E19" i="5"/>
  <c r="E20" i="5"/>
  <c r="D6" i="4"/>
  <c r="E6" i="4" s="1"/>
  <c r="D7" i="4"/>
  <c r="F7" i="4" s="1"/>
  <c r="D8" i="4"/>
  <c r="F8" i="4" s="1"/>
  <c r="E8" i="4"/>
  <c r="D9" i="4"/>
  <c r="F9" i="4" s="1"/>
  <c r="D10" i="4"/>
  <c r="F10" i="4" s="1"/>
  <c r="E10" i="4"/>
  <c r="D11" i="4"/>
  <c r="E11" i="4"/>
  <c r="F11" i="4"/>
  <c r="E12" i="4"/>
  <c r="F12" i="4"/>
  <c r="D13" i="4"/>
  <c r="F13" i="4" s="1"/>
  <c r="E13" i="4"/>
  <c r="D14" i="4"/>
  <c r="E14" i="4"/>
  <c r="F14" i="4"/>
  <c r="E15" i="4"/>
  <c r="F15" i="4"/>
  <c r="E16" i="4"/>
  <c r="F16" i="4"/>
  <c r="D17" i="4"/>
  <c r="E17" i="4" s="1"/>
  <c r="E18" i="4"/>
  <c r="F18" i="4"/>
  <c r="D19" i="4"/>
  <c r="E19" i="4" s="1"/>
  <c r="D20" i="4"/>
  <c r="F20" i="4" s="1"/>
  <c r="E20" i="4"/>
  <c r="D21" i="4"/>
  <c r="F21" i="4" s="1"/>
  <c r="E22" i="4"/>
  <c r="F22" i="4"/>
  <c r="D23" i="4"/>
  <c r="F23" i="4" s="1"/>
  <c r="E23" i="4"/>
  <c r="D24" i="4"/>
  <c r="F24" i="4" s="1"/>
  <c r="E25" i="4"/>
  <c r="F25" i="4"/>
  <c r="D26" i="4"/>
  <c r="F26" i="4" s="1"/>
  <c r="E26" i="4"/>
  <c r="D27" i="4"/>
  <c r="F27" i="4" s="1"/>
  <c r="E28" i="4"/>
  <c r="F28" i="4"/>
  <c r="E29" i="4"/>
  <c r="F29" i="4"/>
  <c r="E30" i="4"/>
  <c r="F30" i="4"/>
  <c r="E9" i="3"/>
  <c r="F9" i="3"/>
  <c r="H3" i="6"/>
  <c r="G6" i="4"/>
  <c r="B23" i="5"/>
  <c r="E7" i="4" l="1"/>
  <c r="F19" i="4"/>
  <c r="F17" i="4"/>
  <c r="F6" i="4"/>
  <c r="E27" i="4"/>
  <c r="E24" i="4"/>
  <c r="E21" i="4"/>
  <c r="E9" i="4"/>
  <c r="E10" i="3"/>
  <c r="E11" i="3"/>
  <c r="E12" i="3"/>
  <c r="E13" i="3"/>
  <c r="E14" i="3"/>
  <c r="E15" i="3"/>
  <c r="E16" i="3"/>
  <c r="E17" i="3"/>
  <c r="E18" i="3"/>
  <c r="E19" i="3"/>
  <c r="E20" i="3"/>
  <c r="E21" i="2"/>
  <c r="G26" i="2"/>
  <c r="G28" i="2"/>
  <c r="G29" i="2"/>
  <c r="G30" i="2"/>
  <c r="G31" i="2"/>
  <c r="G32" i="2"/>
  <c r="H32" i="2"/>
  <c r="Q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<sst xmlns="http://schemas.openxmlformats.org/spreadsheetml/2006/main" count="377" uniqueCount="244">
  <si>
    <t>=U17+r24</t>
  </si>
  <si>
    <t>ჩნდება როცა ფორმულაში მონაწილეობს ის უჯრა სადაც იწერება ფორმულა</t>
  </si>
  <si>
    <t>Circular Cell Reference</t>
  </si>
  <si>
    <t>ჩნდება როდესაც: 
1.) არ არსებობს ორ მონიშნულ არეალს შორის გადაკვეთის წერტილი
2.) როდესაც გამორჩენილია ფორმულაში ნიშანი მაგ:=A1+A2 A3
3.) როდესაც არეალისმონიშვნისას საწყის და ბოლო პოზიციებს შორის გამორჩენილია ":" ნიშანი</t>
  </si>
  <si>
    <t>ჩნდება როდესაც არასწორედ  ვიყენებთ რომელიმე კონკრეტულ ფორმულას და შედეგად აღნიშნული შენიშვნა გვანიშნებს რომ ასეთი კონკრეტული ქმედებით სასურველი პასუხი ვერ მიიღება</t>
  </si>
  <si>
    <t>#N/A, (not available)</t>
  </si>
  <si>
    <t>ტლობა ან ნაკლებობა</t>
  </si>
  <si>
    <t>&lt;=</t>
  </si>
  <si>
    <t xml:space="preserve">ჩნდება როდესაც ექსელი ვერ აღიქვავს დასახელებას </t>
  </si>
  <si>
    <t>#NAME?,</t>
  </si>
  <si>
    <t>ნაკლებობა</t>
  </si>
  <si>
    <t>&lt;</t>
  </si>
  <si>
    <t>ჩნდება როცა ჩაწერი რიცხვი ძალიან დიდია (აუცილებელი დიაპაზონია -1*10^307 დან 1*10^307 მდე)</t>
  </si>
  <si>
    <t>#NUM!,</t>
  </si>
  <si>
    <t>მეტობა</t>
  </si>
  <si>
    <t>&gt;</t>
  </si>
  <si>
    <t>ჩნდება როცა გაყოფა ხდება 0-ზე</t>
  </si>
  <si>
    <t>#DIV/0!,</t>
  </si>
  <si>
    <t>მეტობა ან ტოლობა, ტოლობის ნიშანი ყოველთვის იწერება მეტობის ნიშნის შემდგომ იგივე ხდება ტოლობა ნაკლებობის შემთხვევაშიც</t>
  </si>
  <si>
    <t>&gt;=</t>
  </si>
  <si>
    <t>black</t>
  </si>
  <si>
    <t>თუ წავშლით მაუსის მარჟვენა ღილაკით უჯრას რომელიც გამოიყენება რომელიმე კონკრეტულ ფორუმლაში</t>
  </si>
  <si>
    <t>ჩნდება როდესაც ხდება მომხმარებლის მიერ ფორმულაში გამოყენებული მისამართის არასწორი წაშლა ან მაკავშირებელი ელემენტის არასწორედ ჩაწერა (მაგ +/-* გამოტოვება)</t>
  </si>
  <si>
    <t>#REF!,</t>
  </si>
  <si>
    <t>აღნიშნავს რომ მნიშვნელობები ერთმანეთს არ უდრის</t>
  </si>
  <si>
    <t>&lt;&gt;</t>
  </si>
  <si>
    <t>red</t>
  </si>
  <si>
    <t>როდესაც გამოთვლაში შეცდომით ვიყენებთ ტექსტურ პარამეტრებს</t>
  </si>
  <si>
    <t>#VALUE!,</t>
  </si>
  <si>
    <t>გამოხატავს ორი მნიშვნელობის ტოლობას</t>
  </si>
  <si>
    <t>=</t>
  </si>
  <si>
    <t>white</t>
  </si>
  <si>
    <t>ჩნდება როდესაც:
1.) უჯრაში მონაცემები ვერ ეტევა
2.) უჯრაში ფორმულით მიღებული შედეგი განიერია ვიდრე უჯრის ზომა
3.) უარყოფით რიცხვისთვის თარიღის ან დროის ფორმატის მინიჭებისას</t>
  </si>
  <si>
    <t>#######</t>
  </si>
  <si>
    <t>მაგ:</t>
  </si>
  <si>
    <t>გვიცვენებს არის თუ არა უჯრაში მოცემული მონაცემი კენტი</t>
  </si>
  <si>
    <t>isodd</t>
  </si>
  <si>
    <t>გვიჩვენებს არის თუ არა უჯრაში მოცემული მონაცემი ლუწი</t>
  </si>
  <si>
    <t>iseven</t>
  </si>
  <si>
    <t>საშუალებას იძლევა შევიყვანოთ სასურველი პირობა იმ შემთხვევაში თუ გამოთვლის შედეგი არამართებულია</t>
  </si>
  <si>
    <t>IFERROR</t>
  </si>
  <si>
    <t>გვიჩვენებს წერია თუ არა კონკრეტულ უჯრაში ტექსტი</t>
  </si>
  <si>
    <t>ISTEXT</t>
  </si>
  <si>
    <t>ვიღებთ შედეგს თუ მითითებული პირობიდან ერთი აუცილებლად არის ჭეშმარიტი და მეორე არაჭეშმარიტი</t>
  </si>
  <si>
    <t>IF</t>
  </si>
  <si>
    <t>გვიჩვენებს წერია თუ არა უჯრაში რიცხვითი მონაცემი</t>
  </si>
  <si>
    <t>ISNUMBER</t>
  </si>
  <si>
    <t>ვიღებთ საპირისპირო შედეგს რასაც მისი არგუმენტი გვიჩვენებს</t>
  </si>
  <si>
    <t>NOT</t>
  </si>
  <si>
    <t>ISTEXT -ის საპირისპირო ფორმულა</t>
  </si>
  <si>
    <t>ISNONTEXT</t>
  </si>
  <si>
    <t>თუ ფორმულაში ერთ ერთი არგუმენტი მაინც ჭეშმარიტია შედეგი ჭეშმარიტია</t>
  </si>
  <si>
    <t>OR</t>
  </si>
  <si>
    <t>მიგვითითებს არის თუ არა კონკრეტული შეცდომა #N/A ტიპის</t>
  </si>
  <si>
    <t>ISNA</t>
  </si>
  <si>
    <t>თუ ფორმულაში ყველა არგუმენტი ჭეშმარიტია შედეგიც ჭეშმარიტია</t>
  </si>
  <si>
    <t>And</t>
  </si>
  <si>
    <t>მიგვითითებს შეცდომის არსებობაზე (#N/A, #VALUE!, #REF!, #DIV/0!, #NUM!, #NAME?, or #NULL!)</t>
  </si>
  <si>
    <t>ISERROR</t>
  </si>
  <si>
    <t>მიგვითითებს შეცდომის არსებობაზე (გარდა #N/A)</t>
  </si>
  <si>
    <t>ISERR</t>
  </si>
  <si>
    <t>გვიჩვენებს უჯრა ცარიელია თუ არა</t>
  </si>
  <si>
    <t>ISBLANK</t>
  </si>
  <si>
    <t>სინტაქსის გარეშეა და აღნიშნავს ორი მნიშვნელობის მსგავსების სამართლიანობას</t>
  </si>
  <si>
    <t>დეკემბერი</t>
  </si>
  <si>
    <t>ნოემბერი</t>
  </si>
  <si>
    <t>ოქტომბერი</t>
  </si>
  <si>
    <t>სექტემბერი</t>
  </si>
  <si>
    <t>აგვისტო</t>
  </si>
  <si>
    <t>ივლისი</t>
  </si>
  <si>
    <t>ივნისი</t>
  </si>
  <si>
    <t>მაისი</t>
  </si>
  <si>
    <t>აპრილი</t>
  </si>
  <si>
    <t>მარტი</t>
  </si>
  <si>
    <t>თებერვალი</t>
  </si>
  <si>
    <t>IF(C9&gt;D9,"მოგება","ზარალი")</t>
  </si>
  <si>
    <t>იანვარი</t>
  </si>
  <si>
    <t>შედეგი</t>
  </si>
  <si>
    <t>ხარჯი</t>
  </si>
  <si>
    <t>შემოსავალი</t>
  </si>
  <si>
    <t>თვეები</t>
  </si>
  <si>
    <t>IF ფუნქციის გამოყენებით დაადგინეთ, რომელ თვეში აღემატებოდა ფირმის შემოსავალი ხარჯს და შესაბამისად მიუთითეთ "მოგება" ან "წაგება"</t>
  </si>
  <si>
    <t>IF(C8=D8,"ემთხვევა","არ ემთხვევა")</t>
  </si>
  <si>
    <t>მოწოდებული ბაზა</t>
  </si>
  <si>
    <t>ბაზა</t>
  </si>
  <si>
    <t>დაადგინეთ ემთხვევა თუ არა ბაზაში არსებული და მოწოდებული მონაცემები ერთმანეთს</t>
  </si>
  <si>
    <t>თორნიკე ნაკაშია</t>
  </si>
  <si>
    <t>ილია ფოჩხუა</t>
  </si>
  <si>
    <t>დიმიტრი თოდუა</t>
  </si>
  <si>
    <t>თამარა ლომთაძე</t>
  </si>
  <si>
    <t>ნოდარ ბულაშვილი</t>
  </si>
  <si>
    <t>ეკატერინე მალუტაშვილი</t>
  </si>
  <si>
    <t>ნინო ყოჩიაშვილი</t>
  </si>
  <si>
    <t>სიმონ დალაქიშვილი</t>
  </si>
  <si>
    <t>მაგული შავაძე</t>
  </si>
  <si>
    <t>IF(D13&lt;=2,C13*5%,IF(D13&lt;=5,C13*10%,C13*20%))</t>
  </si>
  <si>
    <t>ბადრი გორგილაძე</t>
  </si>
  <si>
    <t>პრემია</t>
  </si>
  <si>
    <t>გამოცდილება</t>
  </si>
  <si>
    <t>ხელფასი</t>
  </si>
  <si>
    <t>სახელი და გვარი</t>
  </si>
  <si>
    <t>თითოეულ თანამშრომელს ერიცხება პრემია, პრემია გამომდინარეობს თანამშრომლის გამოცდილების მიხედვით, ყველა თანამშრომელს რომელსაც 2 ან ნაკლები წლის გამოცდილება აქვს ერიცხება 5%, მათ ვინც 2_დან 5 წლამდე მუშაობდა 10%, ხოლო 5 წელზე მეტი გამოცდილების მქონეებს 20%
დაადგინეთ რომელ თანამშრომელს რა თანხის პრემია ეკუთვნის</t>
  </si>
  <si>
    <t>Standart</t>
  </si>
  <si>
    <t>ჩვეულებრივი</t>
  </si>
  <si>
    <t>კლიენტი  25</t>
  </si>
  <si>
    <t>კლიენტი  24</t>
  </si>
  <si>
    <t>კლიენტი  23</t>
  </si>
  <si>
    <t>Classic</t>
  </si>
  <si>
    <t>კლიენტი  22</t>
  </si>
  <si>
    <t>კლიენტი  21</t>
  </si>
  <si>
    <t>Vip</t>
  </si>
  <si>
    <t>კლიენტი  20</t>
  </si>
  <si>
    <t>Gold</t>
  </si>
  <si>
    <t>კლიენტი  19</t>
  </si>
  <si>
    <t>კლიენტი  18</t>
  </si>
  <si>
    <t>კლიენტი  17</t>
  </si>
  <si>
    <t>კლიენტი  16</t>
  </si>
  <si>
    <t>კლიენტი  15</t>
  </si>
  <si>
    <t>კლიენტი  14</t>
  </si>
  <si>
    <t>კლიენტი  13</t>
  </si>
  <si>
    <t>კლიენტი  12</t>
  </si>
  <si>
    <t>კლიენტი  11</t>
  </si>
  <si>
    <t>კლიენტი  10</t>
  </si>
  <si>
    <t>კლიენტი  9</t>
  </si>
  <si>
    <t>კლიენტი  8</t>
  </si>
  <si>
    <t>კლიენტი  7</t>
  </si>
  <si>
    <t>კლიენტი  6</t>
  </si>
  <si>
    <t>კლიენტი  5</t>
  </si>
  <si>
    <t>კლიენტი  4</t>
  </si>
  <si>
    <t>კლიენტი  3</t>
  </si>
  <si>
    <t>კლიენტი  2</t>
  </si>
  <si>
    <t>კლიენტი  1</t>
  </si>
  <si>
    <t>ფასდაკლებული ფასი</t>
  </si>
  <si>
    <t>ბარათის ტიპი</t>
  </si>
  <si>
    <t>სტატუსი</t>
  </si>
  <si>
    <t>ფასი</t>
  </si>
  <si>
    <t>კლიენტი</t>
  </si>
  <si>
    <t>თუ მომხმარებელი არის Gold ბარათის მფლობელი გაუკეთეთ ფასზე 6%-იანი ფასდაკლება თუ არის Classic ბარათის მფლობელი 3%-იანი ფასდაკლება ხოლო სხვა შემთხვევებში 0% ფასდაკლება</t>
  </si>
  <si>
    <t>ფასდაკლება</t>
  </si>
  <si>
    <t>თვე</t>
  </si>
  <si>
    <t>Shirts</t>
  </si>
  <si>
    <t>Jeans</t>
  </si>
  <si>
    <t>პროდუქტი</t>
  </si>
  <si>
    <t>მაგალითი 3.</t>
  </si>
  <si>
    <t>სიგანე (inch)</t>
  </si>
  <si>
    <t>სიგრძე (inch)</t>
  </si>
  <si>
    <t>სიგანე (cm)</t>
  </si>
  <si>
    <t>სიგრძე (cm)</t>
  </si>
  <si>
    <t>convers.rate</t>
  </si>
  <si>
    <t>მაგალითი 2.</t>
  </si>
  <si>
    <t>ეკა</t>
  </si>
  <si>
    <t>კოტე</t>
  </si>
  <si>
    <t>ლაშა</t>
  </si>
  <si>
    <t>ანა</t>
  </si>
  <si>
    <t>ნათია</t>
  </si>
  <si>
    <t>დიმიტრი</t>
  </si>
  <si>
    <t>გიორგი</t>
  </si>
  <si>
    <t>ხელფასი (USD)</t>
  </si>
  <si>
    <t>ხელფასი (GEL)</t>
  </si>
  <si>
    <t>დასაქმებული</t>
  </si>
  <si>
    <t>Curr. Rate</t>
  </si>
  <si>
    <t>მაგალითი 1.</t>
  </si>
  <si>
    <t>ფორმულის მხოლოდ ჰორიზონტალში კომპირებისას A1 უჯრა უცვლელი რჩება</t>
  </si>
  <si>
    <t>$A1</t>
  </si>
  <si>
    <t>ფორმულის მხოლოდ ვერტიკალში კომპირებისას A1 უჯრა უცვლელი რჩება</t>
  </si>
  <si>
    <t>A$1</t>
  </si>
  <si>
    <t>ფორმულის კოპირებისას A1 უჯრა უცვლელი რჩება</t>
  </si>
  <si>
    <t>$A$1</t>
  </si>
  <si>
    <t>პირობა: ა.) თუ სამივე ტესტი შესაბამის ქულებზე მეტად ჩააბარა - მიღებულია                ბ.) თუ ერთ-ერთი მაინც გადალახა მოწვეულია გასაუბრებაზე</t>
  </si>
  <si>
    <t>CF</t>
  </si>
  <si>
    <t>C-2</t>
  </si>
  <si>
    <t>CD</t>
  </si>
  <si>
    <t>BA</t>
  </si>
  <si>
    <t>BB</t>
  </si>
  <si>
    <t>AB</t>
  </si>
  <si>
    <t>AA</t>
  </si>
  <si>
    <t>C-1</t>
  </si>
  <si>
    <t>B-1</t>
  </si>
  <si>
    <t>A-1</t>
  </si>
  <si>
    <t>მოწვეულია გასაუბრებაზე</t>
  </si>
  <si>
    <t>მიღებულია</t>
  </si>
  <si>
    <t>პროფესიული</t>
  </si>
  <si>
    <t>უნარჩვევები</t>
  </si>
  <si>
    <t xml:space="preserve">მათემატიკური </t>
  </si>
  <si>
    <t>აპლიკანტი</t>
  </si>
  <si>
    <t>AND</t>
  </si>
  <si>
    <t>პირობითად</t>
  </si>
  <si>
    <t xml:space="preserve">საჭირო დონე </t>
  </si>
  <si>
    <r>
      <rPr>
        <sz val="11"/>
        <color rgb="FFFF0000"/>
        <rFont val="Calibri"/>
        <family val="2"/>
        <scheme val="minor"/>
      </rPr>
      <t>პირობა</t>
    </r>
    <r>
      <rPr>
        <sz val="11"/>
        <color theme="1"/>
        <rFont val="Calibri"/>
        <family val="2"/>
        <scheme val="minor"/>
      </rPr>
      <t>: თუ დისტრიბუტორი არის გიორგი ან ჯემალი და მისი გაყიდვები აღემატება 25000, ამ შემთხვევაში ბონუსი შეადგენს გაყიდვების 20%-ს,  ხოლო თუ დისტრიბუტორი არის გელა ან კოტე და მისი გაყიდვები აღემატება 40000 ამ შმთხვევაში ბონუსი შეადგენს გაყიდვების 10%-ს, კახას შემთხვევაში თუ გაყიდვები აღემატება 80000, მაშინ ბონუსი შეადგენს გაყიდვების 3% სხვა შემთხვევაში ნებისმიერი დისტრიბუტორის ბონუსი არის 0</t>
    </r>
  </si>
  <si>
    <t>დისტრიუტორი</t>
  </si>
  <si>
    <t>რეგიონი</t>
  </si>
  <si>
    <t>გაყიდვები</t>
  </si>
  <si>
    <t>ბონუსი</t>
  </si>
  <si>
    <t>პასუხი</t>
  </si>
  <si>
    <t>აღმოსავლეთი</t>
  </si>
  <si>
    <t>ჯემალი</t>
  </si>
  <si>
    <t>დასავლეთი</t>
  </si>
  <si>
    <t>ჩრდილოეთი</t>
  </si>
  <si>
    <t>კახა</t>
  </si>
  <si>
    <t>სამხრეთი</t>
  </si>
  <si>
    <t>გელა</t>
  </si>
  <si>
    <t>დასაბეგრი</t>
  </si>
  <si>
    <t>დაუბეგრავი</t>
  </si>
  <si>
    <t>#01024034308</t>
  </si>
  <si>
    <t>01.02.2017</t>
  </si>
  <si>
    <t>31.01.2017</t>
  </si>
  <si>
    <t>#334</t>
  </si>
  <si>
    <t>#319</t>
  </si>
  <si>
    <t>10.02.2017</t>
  </si>
  <si>
    <t>30.01.2017</t>
  </si>
  <si>
    <t>#330</t>
  </si>
  <si>
    <t>04.02.2017</t>
  </si>
  <si>
    <t>#333</t>
  </si>
  <si>
    <t>03.02.2017</t>
  </si>
  <si>
    <t>#326</t>
  </si>
  <si>
    <t>#01005002827</t>
  </si>
  <si>
    <t>02.02.2017</t>
  </si>
  <si>
    <t>#323</t>
  </si>
  <si>
    <t>#316</t>
  </si>
  <si>
    <t>08.02.2017</t>
  </si>
  <si>
    <t>29.01.2017</t>
  </si>
  <si>
    <t>#312</t>
  </si>
  <si>
    <t>#315</t>
  </si>
  <si>
    <t>28.01.2017</t>
  </si>
  <si>
    <t>#283</t>
  </si>
  <si>
    <t>27.01.2017</t>
  </si>
  <si>
    <t>#281</t>
  </si>
  <si>
    <t>#264</t>
  </si>
  <si>
    <t>05.02.2017</t>
  </si>
  <si>
    <t>26.01.2017</t>
  </si>
  <si>
    <t>#261</t>
  </si>
  <si>
    <t>25.01.2017</t>
  </si>
  <si>
    <t>#251</t>
  </si>
  <si>
    <t>23.01.2017</t>
  </si>
  <si>
    <t>მიღებულ ავანსზე გადასახდელი დღგ</t>
  </si>
  <si>
    <t>დარჩენილი გადახდა</t>
  </si>
  <si>
    <t xml:space="preserve"> ღირებულება</t>
  </si>
  <si>
    <t>მიღებული ავანსი</t>
  </si>
  <si>
    <t>Column1</t>
  </si>
  <si>
    <t>ბლანკის ნომერი</t>
  </si>
  <si>
    <t>ტორტის გასვლის თარიღი</t>
  </si>
  <si>
    <t xml:space="preserve"> შეკვეთის  თარიღი / ავანსის თარიღი</t>
  </si>
  <si>
    <t>პრემია  &gt;&gt;&gt;&gt; IFS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</si>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</sst>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0"/>
    <numFmt numFmtId="165" formatCode="_([$$-409]* #,##0.00_);_([$$-409]* \(#,##0.00\);_([$$-409]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 vertical="center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0" fillId="0" borderId="1" xfId="0" applyBorder="1"/>
    <xf numFmtId="3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1" xfId="0" applyFont="1" applyBorder="1" applyAlignment="1">
      <alignment horizontal="left"/>
    </xf>
    <xf numFmtId="0" fontId="0" fillId="3" borderId="12" xfId="0" applyFill="1" applyBorder="1"/>
    <xf numFmtId="0" fontId="0" fillId="0" borderId="13" xfId="0" applyBorder="1"/>
    <xf numFmtId="0" fontId="0" fillId="0" borderId="14" xfId="0" applyBorder="1"/>
    <xf numFmtId="0" fontId="0" fillId="3" borderId="15" xfId="0" applyFill="1" applyBorder="1"/>
    <xf numFmtId="0" fontId="0" fillId="3" borderId="16" xfId="0" applyFill="1" applyBorder="1"/>
    <xf numFmtId="0" fontId="0" fillId="0" borderId="15" xfId="0" applyBorder="1"/>
    <xf numFmtId="0" fontId="0" fillId="0" borderId="16" xfId="0" applyBorder="1"/>
    <xf numFmtId="0" fontId="8" fillId="4" borderId="0" xfId="0" applyFont="1" applyFill="1"/>
    <xf numFmtId="0" fontId="9" fillId="5" borderId="0" xfId="0" applyFont="1" applyFill="1"/>
    <xf numFmtId="0" fontId="2" fillId="6" borderId="12" xfId="0" applyFont="1" applyFill="1" applyBorder="1"/>
    <xf numFmtId="0" fontId="2" fillId="6" borderId="15" xfId="0" applyFont="1" applyFill="1" applyBorder="1"/>
    <xf numFmtId="0" fontId="2" fillId="6" borderId="16" xfId="0" applyFont="1" applyFill="1" applyBorder="1"/>
    <xf numFmtId="0" fontId="0" fillId="3" borderId="15" xfId="0" applyFill="1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0" fontId="10" fillId="5" borderId="0" xfId="0" applyFont="1" applyFill="1"/>
    <xf numFmtId="9" fontId="0" fillId="0" borderId="1" xfId="0" applyNumberFormat="1" applyBorder="1" applyAlignment="1">
      <alignment horizontal="center"/>
    </xf>
    <xf numFmtId="0" fontId="0" fillId="12" borderId="0" xfId="0" applyFill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8" xfId="0" applyNumberFormat="1" applyBorder="1"/>
    <xf numFmtId="0" fontId="0" fillId="0" borderId="18" xfId="0" applyBorder="1"/>
    <xf numFmtId="2" fontId="0" fillId="0" borderId="1" xfId="0" applyNumberFormat="1" applyBorder="1"/>
    <xf numFmtId="0" fontId="0" fillId="12" borderId="2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20" xfId="0" applyFill="1" applyBorder="1" applyAlignment="1">
      <alignment horizontal="left"/>
    </xf>
    <xf numFmtId="0" fontId="0" fillId="12" borderId="1" xfId="0" applyFill="1" applyBorder="1"/>
    <xf numFmtId="0" fontId="0" fillId="13" borderId="0" xfId="0" applyFill="1" applyAlignment="1">
      <alignment vertical="center"/>
    </xf>
    <xf numFmtId="0" fontId="0" fillId="0" borderId="0" xfId="0" applyAlignment="1">
      <alignment vertical="center"/>
    </xf>
    <xf numFmtId="0" fontId="11" fillId="0" borderId="2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4" borderId="0" xfId="0" applyFill="1" applyAlignment="1">
      <alignment vertical="center"/>
    </xf>
    <xf numFmtId="165" fontId="0" fillId="0" borderId="0" xfId="0" applyNumberFormat="1"/>
    <xf numFmtId="0" fontId="12" fillId="2" borderId="1" xfId="2" applyFont="1" applyBorder="1"/>
    <xf numFmtId="0" fontId="12" fillId="2" borderId="0" xfId="2" applyFont="1"/>
    <xf numFmtId="9" fontId="12" fillId="2" borderId="0" xfId="2" applyNumberFormat="1" applyFont="1"/>
    <xf numFmtId="43" fontId="0" fillId="0" borderId="0" xfId="1" applyFont="1"/>
    <xf numFmtId="0" fontId="0" fillId="15" borderId="21" xfId="0" applyFill="1" applyBorder="1"/>
    <xf numFmtId="0" fontId="0" fillId="3" borderId="21" xfId="0" applyFill="1" applyBorder="1"/>
    <xf numFmtId="2" fontId="8" fillId="0" borderId="0" xfId="0" applyNumberFormat="1" applyFont="1"/>
    <xf numFmtId="0" fontId="8" fillId="0" borderId="0" xfId="0" applyFont="1"/>
    <xf numFmtId="43" fontId="0" fillId="0" borderId="0" xfId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/>
    </xf>
    <xf numFmtId="2" fontId="0" fillId="0" borderId="7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vertical="center"/>
    </xf>
    <xf numFmtId="0" fontId="4" fillId="7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4" fillId="10" borderId="0" xfId="0" applyFont="1" applyFill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6" borderId="15" xfId="0" applyFont="1" applyFill="1" applyBorder="1" applyAlignment="1">
      <alignment horizontal="center"/>
    </xf>
    <xf numFmtId="0" fontId="13" fillId="9" borderId="0" xfId="0" applyFont="1" applyFill="1"/>
    <xf numFmtId="0" fontId="13" fillId="0" borderId="0" xfId="0" applyFont="1"/>
    <xf numFmtId="0" fontId="14" fillId="10" borderId="0" xfId="0" applyFont="1" applyFill="1" applyAlignment="1">
      <alignment horizontal="center" vertical="center" wrapText="1"/>
    </xf>
    <xf numFmtId="0" fontId="14" fillId="0" borderId="0" xfId="0" applyFont="1"/>
    <xf numFmtId="0" fontId="15" fillId="6" borderId="16" xfId="0" applyFont="1" applyFill="1" applyBorder="1"/>
    <xf numFmtId="0" fontId="15" fillId="6" borderId="15" xfId="0" applyFont="1" applyFill="1" applyBorder="1"/>
    <xf numFmtId="0" fontId="15" fillId="6" borderId="15" xfId="0" applyFont="1" applyFill="1" applyBorder="1" applyAlignment="1">
      <alignment horizontal="center" wrapText="1"/>
    </xf>
    <xf numFmtId="0" fontId="14" fillId="3" borderId="16" xfId="0" applyFont="1" applyFill="1" applyBorder="1"/>
    <xf numFmtId="0" fontId="14" fillId="3" borderId="15" xfId="0" applyFont="1" applyFill="1" applyBorder="1"/>
    <xf numFmtId="0" fontId="14" fillId="0" borderId="16" xfId="0" applyFont="1" applyBorder="1"/>
    <xf numFmtId="0" fontId="14" fillId="0" borderId="15" xfId="0" applyFont="1" applyBorder="1"/>
    <xf numFmtId="0" fontId="14" fillId="3" borderId="14" xfId="0" applyFont="1" applyFill="1" applyBorder="1"/>
    <xf numFmtId="0" fontId="14" fillId="3" borderId="13" xfId="0" applyFont="1" applyFill="1" applyBorder="1"/>
    <xf numFmtId="0" fontId="15" fillId="11" borderId="0" xfId="0" applyFont="1" applyFill="1" applyAlignment="1">
      <alignment horizontal="left" vertical="center"/>
    </xf>
    <xf numFmtId="43" fontId="14" fillId="0" borderId="0" xfId="1" applyFont="1"/>
    <xf numFmtId="43" fontId="15" fillId="6" borderId="12" xfId="1" applyFont="1" applyFill="1" applyBorder="1"/>
    <xf numFmtId="43" fontId="14" fillId="3" borderId="12" xfId="1" applyFont="1" applyFill="1" applyBorder="1"/>
    <xf numFmtId="43" fontId="15" fillId="6" borderId="12" xfId="1" applyFont="1" applyFill="1" applyBorder="1" applyAlignment="1">
      <alignment horizontal="center"/>
    </xf>
    <xf numFmtId="43" fontId="14" fillId="0" borderId="0" xfId="1" applyFont="1" applyAlignment="1">
      <alignment horizontal="center"/>
    </xf>
    <xf numFmtId="0" fontId="0" fillId="0" borderId="1" xfId="0" applyBorder="1" applyAlignment="1">
      <alignment horizont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3">
    <cellStyle name="60% - Accent1" xfId="2" builtinId="32"/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7</xdr:row>
      <xdr:rowOff>114300</xdr:rowOff>
    </xdr:from>
    <xdr:to>
      <xdr:col>1</xdr:col>
      <xdr:colOff>28575</xdr:colOff>
      <xdr:row>9</xdr:row>
      <xdr:rowOff>304800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1025" y="1394460"/>
          <a:ext cx="339090" cy="434340"/>
        </a:xfrm>
        <a:prstGeom prst="rightBrac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2</xdr:col>
      <xdr:colOff>512699</xdr:colOff>
      <xdr:row>0</xdr:row>
      <xdr:rowOff>181514</xdr:rowOff>
    </xdr:from>
    <xdr:ext cx="11955526" cy="63273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95779" y="181514"/>
          <a:ext cx="11955526" cy="63273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ka-GE" sz="3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</a:rPr>
            <a:t>ლოგიკური და ინფორმაციული ფუნქციები</a:t>
          </a:r>
          <a:endParaRPr lang="en-US" sz="3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18" totalsRowShown="0" headerRowDxfId="3">
  <autoFilter ref="A1:H18" xr:uid="{00000000-0009-0000-0100-000001000000}"/>
  <sortState xmlns:xlrd2="http://schemas.microsoft.com/office/spreadsheetml/2017/richdata2" ref="A2:H18">
    <sortCondition ref="A1:A18"/>
  </sortState>
  <tableColumns count="8">
    <tableColumn id="1" xr3:uid="{00000000-0010-0000-0000-000001000000}" name=" შეკვეთის  თარიღი / ავანსის თარიღი"/>
    <tableColumn id="2" xr3:uid="{00000000-0010-0000-0000-000002000000}" name="ტორტის გასვლის თარიღი"/>
    <tableColumn id="3" xr3:uid="{00000000-0010-0000-0000-000003000000}" name="ბლანკის ნომერი"/>
    <tableColumn id="9" xr3:uid="{00000000-0010-0000-0000-000009000000}" name="Column1"/>
    <tableColumn id="4" xr3:uid="{00000000-0010-0000-0000-000004000000}" name="მიღებული ავანსი"/>
    <tableColumn id="5" xr3:uid="{00000000-0010-0000-0000-000005000000}" name=" ღირებულება">
      <calculatedColumnFormula>IF(Table2[[#This Row],[Column1]]="დასაბეგრი",Table2[[#This Row],[მიღებული ავანსი]]/1.18*0.18,0)</calculatedColumnFormula>
    </tableColumn>
    <tableColumn id="6" xr3:uid="{00000000-0010-0000-0000-000006000000}" name="დარჩენილი გადახდა">
      <calculatedColumnFormula>Table2[[#This Row],[ ღირებულება]]-Table2[[#This Row],[მიღებული ავანსი]]</calculatedColumnFormula>
    </tableColumn>
    <tableColumn id="7" xr3:uid="{00000000-0010-0000-0000-000007000000}" name="მიღებულ ავანსზე გადასახდელი დღგ" dataCellStyle="Comma">
      <calculatedColumnFormula>Table2[[#This Row],[მიღებული ავანსი]]/1.18*0.18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zoomScale="68" zoomScaleNormal="68" workbookViewId="0">
      <selection activeCell="T17" sqref="T17"/>
    </sheetView>
  </sheetViews>
  <sheetFormatPr defaultColWidth="13" defaultRowHeight="15" x14ac:dyDescent="0.25"/>
  <sheetData>
    <row r="1" spans="1:17" x14ac:dyDescent="0.25">
      <c r="Q1">
        <v>5</v>
      </c>
    </row>
    <row r="2" spans="1:17" x14ac:dyDescent="0.25">
      <c r="Q2">
        <v>5</v>
      </c>
    </row>
    <row r="4" spans="1:17" x14ac:dyDescent="0.25">
      <c r="Q4">
        <f ca="1">SUM(Q:Q)</f>
        <v>0</v>
      </c>
    </row>
    <row r="8" spans="1:17" ht="25.5" customHeight="1" thickBot="1" x14ac:dyDescent="0.3">
      <c r="A8" s="21" t="b">
        <v>0</v>
      </c>
      <c r="B8" s="81" t="s">
        <v>63</v>
      </c>
      <c r="C8" s="81"/>
      <c r="D8" s="81"/>
      <c r="E8" s="81"/>
      <c r="F8" s="81"/>
      <c r="G8" s="81"/>
      <c r="H8" s="81"/>
      <c r="J8" s="17" t="s">
        <v>62</v>
      </c>
      <c r="K8" s="84" t="s">
        <v>61</v>
      </c>
      <c r="L8" s="84"/>
      <c r="M8" s="84"/>
      <c r="N8" s="84"/>
      <c r="O8" s="84"/>
    </row>
    <row r="9" spans="1:17" ht="16.5" customHeight="1" thickBot="1" x14ac:dyDescent="0.3">
      <c r="A9" s="20"/>
      <c r="B9" s="82"/>
      <c r="C9" s="82"/>
      <c r="D9" s="82"/>
      <c r="E9" s="82"/>
      <c r="F9" s="82"/>
      <c r="G9" s="82"/>
      <c r="H9" s="82"/>
      <c r="J9" s="17" t="s">
        <v>60</v>
      </c>
      <c r="K9" s="85" t="s">
        <v>59</v>
      </c>
      <c r="L9" s="85"/>
      <c r="M9" s="85"/>
      <c r="N9" s="85"/>
      <c r="O9" s="85"/>
    </row>
    <row r="10" spans="1:17" ht="30.75" customHeight="1" thickBot="1" x14ac:dyDescent="0.3">
      <c r="A10" s="19" t="b">
        <v>1</v>
      </c>
      <c r="B10" s="83"/>
      <c r="C10" s="83"/>
      <c r="D10" s="83"/>
      <c r="E10" s="83"/>
      <c r="F10" s="83"/>
      <c r="G10" s="83"/>
      <c r="H10" s="83"/>
      <c r="J10" s="17" t="s">
        <v>58</v>
      </c>
      <c r="K10" s="86" t="s">
        <v>57</v>
      </c>
      <c r="L10" s="86"/>
      <c r="M10" s="86"/>
      <c r="N10" s="86"/>
      <c r="O10" s="86"/>
    </row>
    <row r="11" spans="1:17" ht="36" customHeight="1" thickBot="1" x14ac:dyDescent="0.3">
      <c r="A11" s="18" t="s">
        <v>56</v>
      </c>
      <c r="B11" s="87" t="s">
        <v>55</v>
      </c>
      <c r="C11" s="87"/>
      <c r="D11" s="87"/>
      <c r="E11" s="87"/>
      <c r="F11" s="87"/>
      <c r="G11" s="87"/>
      <c r="H11" s="87"/>
      <c r="J11" s="17" t="s">
        <v>54</v>
      </c>
      <c r="K11" s="86" t="s">
        <v>53</v>
      </c>
      <c r="L11" s="86"/>
      <c r="M11" s="86"/>
      <c r="N11" s="86"/>
      <c r="O11" s="86"/>
    </row>
    <row r="12" spans="1:17" ht="35.25" customHeight="1" thickBot="1" x14ac:dyDescent="0.3">
      <c r="A12" s="18" t="s">
        <v>52</v>
      </c>
      <c r="B12" s="75" t="s">
        <v>51</v>
      </c>
      <c r="C12" s="75"/>
      <c r="D12" s="75"/>
      <c r="E12" s="75"/>
      <c r="F12" s="75"/>
      <c r="G12" s="75"/>
      <c r="H12" s="75"/>
      <c r="J12" s="17" t="s">
        <v>50</v>
      </c>
      <c r="K12" s="76" t="s">
        <v>49</v>
      </c>
      <c r="L12" s="76"/>
      <c r="M12" s="76"/>
      <c r="N12" s="76"/>
      <c r="O12" s="76"/>
    </row>
    <row r="13" spans="1:17" ht="20.25" customHeight="1" thickBot="1" x14ac:dyDescent="0.3">
      <c r="A13" s="18" t="s">
        <v>48</v>
      </c>
      <c r="B13" s="79" t="s">
        <v>47</v>
      </c>
      <c r="C13" s="79"/>
      <c r="D13" s="79"/>
      <c r="E13" s="79"/>
      <c r="F13" s="79"/>
      <c r="G13" s="79"/>
      <c r="H13" s="79"/>
      <c r="J13" s="17" t="s">
        <v>46</v>
      </c>
      <c r="K13" s="76" t="s">
        <v>45</v>
      </c>
      <c r="L13" s="76"/>
      <c r="M13" s="76"/>
      <c r="N13" s="76"/>
      <c r="O13" s="76"/>
    </row>
    <row r="14" spans="1:17" ht="37.5" customHeight="1" thickBot="1" x14ac:dyDescent="0.3">
      <c r="A14" s="17" t="s">
        <v>44</v>
      </c>
      <c r="B14" s="80" t="s">
        <v>43</v>
      </c>
      <c r="C14" s="80"/>
      <c r="D14" s="80"/>
      <c r="E14" s="80"/>
      <c r="F14" s="80"/>
      <c r="G14" s="80"/>
      <c r="H14" s="80"/>
      <c r="J14" s="17" t="s">
        <v>42</v>
      </c>
      <c r="K14" s="76" t="s">
        <v>41</v>
      </c>
      <c r="L14" s="76"/>
      <c r="M14" s="76"/>
      <c r="N14" s="76"/>
      <c r="O14" s="76"/>
    </row>
    <row r="15" spans="1:17" ht="39" customHeight="1" thickBot="1" x14ac:dyDescent="0.3">
      <c r="A15" s="17" t="s">
        <v>40</v>
      </c>
      <c r="B15" s="75" t="s">
        <v>39</v>
      </c>
      <c r="C15" s="75"/>
      <c r="D15" s="75"/>
      <c r="E15" s="75"/>
      <c r="F15" s="75"/>
      <c r="G15" s="75"/>
      <c r="H15" s="75"/>
      <c r="J15" s="17" t="s">
        <v>38</v>
      </c>
      <c r="K15" s="76" t="s">
        <v>37</v>
      </c>
      <c r="L15" s="76"/>
      <c r="M15" s="76"/>
      <c r="N15" s="76"/>
      <c r="O15" s="76"/>
    </row>
    <row r="16" spans="1:17" ht="35.25" customHeight="1" thickBot="1" x14ac:dyDescent="0.3">
      <c r="A16" s="14"/>
      <c r="B16" s="12"/>
      <c r="C16" s="12"/>
      <c r="D16" s="12"/>
      <c r="E16" s="12"/>
      <c r="F16" s="12"/>
      <c r="G16" s="12"/>
      <c r="H16" s="12"/>
      <c r="J16" s="17" t="s">
        <v>36</v>
      </c>
      <c r="K16" s="76" t="s">
        <v>35</v>
      </c>
      <c r="L16" s="76"/>
      <c r="M16" s="76"/>
      <c r="N16" s="76"/>
      <c r="O16" s="76"/>
    </row>
    <row r="17" spans="1:16" ht="18" customHeight="1" x14ac:dyDescent="0.25">
      <c r="A17" s="14"/>
      <c r="B17" s="12"/>
      <c r="C17" s="12"/>
      <c r="D17" s="12"/>
      <c r="F17" s="12"/>
      <c r="G17" s="12"/>
      <c r="H17" s="12"/>
    </row>
    <row r="18" spans="1:16" ht="18" customHeight="1" x14ac:dyDescent="0.25">
      <c r="A18" s="14"/>
      <c r="B18" s="12"/>
      <c r="D18" s="12"/>
      <c r="E18" s="13"/>
      <c r="F18" s="12"/>
      <c r="G18" s="12"/>
      <c r="H18" s="12"/>
    </row>
    <row r="19" spans="1:16" ht="18" customHeight="1" x14ac:dyDescent="0.25">
      <c r="A19" s="14"/>
      <c r="B19" s="12"/>
      <c r="D19" s="12"/>
      <c r="E19" s="16">
        <v>41644</v>
      </c>
      <c r="F19" s="12"/>
      <c r="G19" s="12"/>
      <c r="H19" s="12"/>
    </row>
    <row r="20" spans="1:16" ht="18" customHeight="1" x14ac:dyDescent="0.25">
      <c r="A20" s="14"/>
      <c r="B20" s="14"/>
      <c r="C20" s="13"/>
      <c r="D20" s="12"/>
      <c r="E20" s="16">
        <v>41275</v>
      </c>
      <c r="F20" s="12"/>
      <c r="G20" s="12"/>
      <c r="H20" s="12"/>
      <c r="P20" s="1"/>
    </row>
    <row r="21" spans="1:16" ht="18" customHeight="1" x14ac:dyDescent="0.25">
      <c r="A21" s="14"/>
      <c r="B21" s="14"/>
      <c r="C21" s="13"/>
      <c r="D21" s="12"/>
      <c r="E21" s="15">
        <f>E20-E19</f>
        <v>-369</v>
      </c>
      <c r="F21" s="12"/>
      <c r="G21" s="12"/>
      <c r="H21" s="12"/>
      <c r="P21" s="1"/>
    </row>
    <row r="22" spans="1:16" ht="18" customHeight="1" x14ac:dyDescent="0.25">
      <c r="A22" s="14"/>
      <c r="B22" s="14"/>
      <c r="C22" s="13"/>
      <c r="D22" s="12"/>
      <c r="E22" s="12"/>
      <c r="F22" s="12"/>
      <c r="G22" s="12"/>
      <c r="H22" s="12"/>
      <c r="P22" s="1"/>
    </row>
    <row r="23" spans="1:16" ht="18" customHeight="1" x14ac:dyDescent="0.25">
      <c r="A23" s="14"/>
      <c r="B23" s="14"/>
      <c r="C23" s="13"/>
      <c r="D23" s="12"/>
      <c r="E23" s="12"/>
      <c r="F23" s="12"/>
      <c r="G23" s="12"/>
      <c r="H23" s="12"/>
      <c r="P23" s="1"/>
    </row>
    <row r="24" spans="1:16" ht="42" customHeight="1" thickBot="1" x14ac:dyDescent="0.3">
      <c r="G24" s="77" t="s">
        <v>34</v>
      </c>
      <c r="H24" s="77"/>
      <c r="P24" s="1"/>
    </row>
    <row r="25" spans="1:16" ht="93" customHeight="1" thickTop="1" thickBot="1" x14ac:dyDescent="0.3">
      <c r="A25" s="6" t="s">
        <v>33</v>
      </c>
      <c r="B25" s="67" t="s">
        <v>32</v>
      </c>
      <c r="C25" s="68"/>
      <c r="D25" s="68"/>
      <c r="E25" s="68"/>
      <c r="F25" s="69"/>
      <c r="G25" s="11">
        <v>4597652315</v>
      </c>
      <c r="I25" s="10" t="s">
        <v>31</v>
      </c>
      <c r="K25" s="7" t="s">
        <v>30</v>
      </c>
      <c r="L25" s="78" t="s">
        <v>29</v>
      </c>
      <c r="M25" s="78"/>
      <c r="N25" s="78"/>
      <c r="O25" s="78"/>
    </row>
    <row r="26" spans="1:16" ht="30.75" customHeight="1" thickTop="1" thickBot="1" x14ac:dyDescent="0.3">
      <c r="A26" s="9" t="s">
        <v>28</v>
      </c>
      <c r="B26" s="67" t="s">
        <v>27</v>
      </c>
      <c r="C26" s="68"/>
      <c r="D26" s="68"/>
      <c r="E26" s="68"/>
      <c r="F26" s="69"/>
      <c r="G26" s="8" t="e">
        <f>I26+#REF!</f>
        <v>#VALUE!</v>
      </c>
      <c r="I26" s="10" t="s">
        <v>26</v>
      </c>
      <c r="K26" s="7" t="s">
        <v>25</v>
      </c>
      <c r="L26" s="74" t="s">
        <v>24</v>
      </c>
      <c r="M26" s="74"/>
      <c r="N26" s="74"/>
      <c r="O26" s="74"/>
    </row>
    <row r="27" spans="1:16" ht="90" customHeight="1" thickTop="1" thickBot="1" x14ac:dyDescent="0.3">
      <c r="A27" s="9" t="s">
        <v>23</v>
      </c>
      <c r="B27" s="67" t="s">
        <v>22</v>
      </c>
      <c r="C27" s="68"/>
      <c r="D27" s="68"/>
      <c r="E27" s="68"/>
      <c r="F27" s="69"/>
      <c r="G27" s="8" t="s">
        <v>21</v>
      </c>
      <c r="I27" s="10" t="s">
        <v>20</v>
      </c>
      <c r="K27" s="7" t="s">
        <v>19</v>
      </c>
      <c r="L27" s="74" t="s">
        <v>18</v>
      </c>
      <c r="M27" s="74"/>
      <c r="N27" s="74"/>
      <c r="O27" s="74"/>
    </row>
    <row r="28" spans="1:16" ht="24.75" thickTop="1" thickBot="1" x14ac:dyDescent="0.3">
      <c r="A28" s="9" t="s">
        <v>17</v>
      </c>
      <c r="B28" s="71" t="s">
        <v>16</v>
      </c>
      <c r="C28" s="72"/>
      <c r="D28" s="72"/>
      <c r="E28" s="72"/>
      <c r="F28" s="73"/>
      <c r="G28" s="8" t="e">
        <f>10/0</f>
        <v>#DIV/0!</v>
      </c>
      <c r="K28" s="7" t="s">
        <v>15</v>
      </c>
      <c r="L28" s="70" t="s">
        <v>14</v>
      </c>
      <c r="M28" s="70"/>
      <c r="N28" s="70"/>
      <c r="O28" s="70"/>
    </row>
    <row r="29" spans="1:16" ht="31.5" customHeight="1" thickTop="1" thickBot="1" x14ac:dyDescent="0.3">
      <c r="A29" s="9" t="s">
        <v>13</v>
      </c>
      <c r="B29" s="67" t="s">
        <v>12</v>
      </c>
      <c r="C29" s="68"/>
      <c r="D29" s="68"/>
      <c r="E29" s="68"/>
      <c r="F29" s="69"/>
      <c r="G29" s="8" t="e">
        <f>20^7000</f>
        <v>#NUM!</v>
      </c>
      <c r="K29" s="7" t="s">
        <v>11</v>
      </c>
      <c r="L29" s="70" t="s">
        <v>10</v>
      </c>
      <c r="M29" s="70"/>
      <c r="N29" s="70"/>
      <c r="O29" s="70"/>
    </row>
    <row r="30" spans="1:16" ht="24.75" thickTop="1" thickBot="1" x14ac:dyDescent="0.3">
      <c r="A30" s="9" t="s">
        <v>9</v>
      </c>
      <c r="B30" s="71" t="s">
        <v>8</v>
      </c>
      <c r="C30" s="72"/>
      <c r="D30" s="72"/>
      <c r="E30" s="72"/>
      <c r="F30" s="73"/>
      <c r="G30" s="8" t="e">
        <f>IF</f>
        <v>#NAME?</v>
      </c>
      <c r="K30" s="7" t="s">
        <v>7</v>
      </c>
      <c r="L30" s="70" t="s">
        <v>6</v>
      </c>
      <c r="M30" s="70"/>
      <c r="N30" s="70"/>
      <c r="O30" s="70"/>
    </row>
    <row r="31" spans="1:16" ht="60.75" customHeight="1" thickTop="1" thickBot="1" x14ac:dyDescent="0.3">
      <c r="A31" s="3" t="s">
        <v>5</v>
      </c>
      <c r="B31" s="67" t="s">
        <v>4</v>
      </c>
      <c r="C31" s="68"/>
      <c r="D31" s="68"/>
      <c r="E31" s="68"/>
      <c r="F31" s="69"/>
      <c r="G31" s="5" t="e">
        <f>VLOOKUP(I25,I26:I27,2,FALSE)</f>
        <v>#N/A</v>
      </c>
    </row>
    <row r="32" spans="1:16" ht="102.75" customHeight="1" thickTop="1" thickBot="1" x14ac:dyDescent="0.3">
      <c r="A32" s="6" t="e">
        <v>#NULL!</v>
      </c>
      <c r="B32" s="67" t="s">
        <v>3</v>
      </c>
      <c r="C32" s="68"/>
      <c r="D32" s="68"/>
      <c r="E32" s="68"/>
      <c r="F32" s="69"/>
      <c r="G32" s="5" t="e">
        <f>D35:D39 A36:C36</f>
        <v>#NULL!</v>
      </c>
      <c r="H32" s="4">
        <f>I34:I39 G36:I36</f>
        <v>0</v>
      </c>
    </row>
    <row r="33" spans="1:9" ht="48" customHeight="1" thickTop="1" thickBot="1" x14ac:dyDescent="0.3">
      <c r="A33" s="3" t="s">
        <v>2</v>
      </c>
      <c r="B33" s="67" t="s">
        <v>1</v>
      </c>
      <c r="C33" s="68"/>
      <c r="D33" s="68"/>
      <c r="E33" s="68"/>
      <c r="F33" s="69"/>
      <c r="G33" s="2" t="s">
        <v>0</v>
      </c>
    </row>
    <row r="34" spans="1:9" ht="33" customHeight="1" thickTop="1" x14ac:dyDescent="0.25"/>
    <row r="45" spans="1:9" x14ac:dyDescent="0.25">
      <c r="F45" s="1"/>
      <c r="G45" s="1"/>
      <c r="I45" s="1"/>
    </row>
    <row r="48" spans="1:9" x14ac:dyDescent="0.25">
      <c r="F48" s="1"/>
      <c r="G48" s="1"/>
      <c r="I48" s="1"/>
    </row>
    <row r="51" spans="6:9" x14ac:dyDescent="0.25">
      <c r="F51" s="1"/>
      <c r="G51" s="1"/>
      <c r="I51" s="1"/>
    </row>
    <row r="54" spans="6:9" x14ac:dyDescent="0.25">
      <c r="F54" s="1"/>
      <c r="G54" s="1"/>
      <c r="I54" s="1"/>
    </row>
    <row r="57" spans="6:9" x14ac:dyDescent="0.25">
      <c r="F57" s="1"/>
      <c r="G57" s="1"/>
      <c r="I57" s="1"/>
    </row>
  </sheetData>
  <mergeCells count="31">
    <mergeCell ref="B8:H10"/>
    <mergeCell ref="K8:O8"/>
    <mergeCell ref="K9:O9"/>
    <mergeCell ref="K10:O10"/>
    <mergeCell ref="B11:H11"/>
    <mergeCell ref="K11:O11"/>
    <mergeCell ref="B12:H12"/>
    <mergeCell ref="K12:O12"/>
    <mergeCell ref="B13:H13"/>
    <mergeCell ref="K13:O13"/>
    <mergeCell ref="B14:H14"/>
    <mergeCell ref="K14:O14"/>
    <mergeCell ref="B15:H15"/>
    <mergeCell ref="K15:O15"/>
    <mergeCell ref="K16:O16"/>
    <mergeCell ref="G24:H24"/>
    <mergeCell ref="B25:F25"/>
    <mergeCell ref="L25:O25"/>
    <mergeCell ref="B26:F26"/>
    <mergeCell ref="L26:O26"/>
    <mergeCell ref="B27:F27"/>
    <mergeCell ref="L27:O27"/>
    <mergeCell ref="B28:F28"/>
    <mergeCell ref="L28:O28"/>
    <mergeCell ref="B33:F33"/>
    <mergeCell ref="B29:F29"/>
    <mergeCell ref="L29:O29"/>
    <mergeCell ref="B30:F30"/>
    <mergeCell ref="L30:O30"/>
    <mergeCell ref="B31:F31"/>
    <mergeCell ref="B32:F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0"/>
  <sheetViews>
    <sheetView showGridLines="0" zoomScale="77" zoomScaleNormal="77" workbookViewId="0">
      <selection activeCell="E18" sqref="E18"/>
    </sheetView>
  </sheetViews>
  <sheetFormatPr defaultRowHeight="15" x14ac:dyDescent="0.25"/>
  <cols>
    <col min="2" max="2" width="12.7109375" bestFit="1" customWidth="1"/>
    <col min="3" max="3" width="17.42578125" customWidth="1"/>
    <col min="4" max="4" width="10.7109375" customWidth="1"/>
    <col min="5" max="5" width="12.85546875" customWidth="1"/>
    <col min="6" max="6" width="39.28515625" customWidth="1"/>
    <col min="7" max="7" width="39.42578125" customWidth="1"/>
  </cols>
  <sheetData>
    <row r="2" spans="1:7" x14ac:dyDescent="0.25">
      <c r="A2" s="88" t="s">
        <v>81</v>
      </c>
      <c r="B2" s="88"/>
      <c r="C2" s="88"/>
      <c r="D2" s="88"/>
      <c r="E2" s="88"/>
      <c r="F2" s="88"/>
      <c r="G2" s="88"/>
    </row>
    <row r="3" spans="1:7" x14ac:dyDescent="0.25">
      <c r="A3" s="88"/>
      <c r="B3" s="88"/>
      <c r="C3" s="88"/>
      <c r="D3" s="88"/>
      <c r="E3" s="88"/>
      <c r="F3" s="88"/>
      <c r="G3" s="88"/>
    </row>
    <row r="4" spans="1:7" x14ac:dyDescent="0.25">
      <c r="A4" s="88"/>
      <c r="B4" s="88"/>
      <c r="C4" s="88"/>
      <c r="D4" s="88"/>
      <c r="E4" s="88"/>
      <c r="F4" s="88"/>
      <c r="G4" s="88"/>
    </row>
    <row r="5" spans="1:7" x14ac:dyDescent="0.25">
      <c r="A5" s="88"/>
      <c r="B5" s="88"/>
      <c r="C5" s="88"/>
      <c r="D5" s="88"/>
      <c r="E5" s="88"/>
      <c r="F5" s="88"/>
      <c r="G5" s="88"/>
    </row>
    <row r="8" spans="1:7" x14ac:dyDescent="0.25">
      <c r="B8" s="33" t="s">
        <v>80</v>
      </c>
      <c r="C8" s="32" t="s">
        <v>79</v>
      </c>
      <c r="D8" s="32" t="s">
        <v>78</v>
      </c>
      <c r="E8" s="31" t="s">
        <v>77</v>
      </c>
    </row>
    <row r="9" spans="1:7" ht="19.5" x14ac:dyDescent="0.3">
      <c r="B9" s="26" t="s">
        <v>76</v>
      </c>
      <c r="C9" s="25">
        <v>946</v>
      </c>
      <c r="D9" s="25">
        <v>466</v>
      </c>
      <c r="E9" s="22" t="str">
        <f t="shared" ref="E9:E20" si="0">IF(C9&gt;D9,"მოგება","ზარალი")</f>
        <v>მოგება</v>
      </c>
      <c r="F9" s="30" t="str">
        <f ca="1">_xlfn.FORMULATEXT(E9)</f>
        <v>=IF(C9&gt;D9,"მოგება","ზარალი")</v>
      </c>
      <c r="G9" s="29" t="s">
        <v>75</v>
      </c>
    </row>
    <row r="10" spans="1:7" x14ac:dyDescent="0.25">
      <c r="B10" s="28" t="s">
        <v>74</v>
      </c>
      <c r="C10" s="27">
        <v>578</v>
      </c>
      <c r="D10" s="27">
        <v>376</v>
      </c>
      <c r="E10" s="22" t="str">
        <f t="shared" si="0"/>
        <v>მოგება</v>
      </c>
    </row>
    <row r="11" spans="1:7" x14ac:dyDescent="0.25">
      <c r="B11" s="26" t="s">
        <v>73</v>
      </c>
      <c r="C11" s="25">
        <v>709</v>
      </c>
      <c r="D11" s="25">
        <v>460</v>
      </c>
      <c r="E11" s="22" t="str">
        <f t="shared" si="0"/>
        <v>მოგება</v>
      </c>
    </row>
    <row r="12" spans="1:7" x14ac:dyDescent="0.25">
      <c r="B12" s="28" t="s">
        <v>72</v>
      </c>
      <c r="C12" s="27">
        <v>1253</v>
      </c>
      <c r="D12" s="27">
        <v>223</v>
      </c>
      <c r="E12" s="22" t="str">
        <f t="shared" si="0"/>
        <v>მოგება</v>
      </c>
    </row>
    <row r="13" spans="1:7" x14ac:dyDescent="0.25">
      <c r="B13" s="26" t="s">
        <v>71</v>
      </c>
      <c r="C13" s="25">
        <v>504</v>
      </c>
      <c r="D13" s="25">
        <v>241</v>
      </c>
      <c r="E13" s="22" t="str">
        <f t="shared" si="0"/>
        <v>მოგება</v>
      </c>
    </row>
    <row r="14" spans="1:7" x14ac:dyDescent="0.25">
      <c r="B14" s="28" t="s">
        <v>70</v>
      </c>
      <c r="C14" s="27">
        <v>559</v>
      </c>
      <c r="D14" s="27">
        <v>171</v>
      </c>
      <c r="E14" s="22" t="str">
        <f t="shared" si="0"/>
        <v>მოგება</v>
      </c>
    </row>
    <row r="15" spans="1:7" x14ac:dyDescent="0.25">
      <c r="B15" s="26" t="s">
        <v>69</v>
      </c>
      <c r="C15" s="25">
        <v>133</v>
      </c>
      <c r="D15" s="25">
        <v>359</v>
      </c>
      <c r="E15" s="22" t="str">
        <f t="shared" si="0"/>
        <v>ზარალი</v>
      </c>
    </row>
    <row r="16" spans="1:7" x14ac:dyDescent="0.25">
      <c r="B16" s="28" t="s">
        <v>68</v>
      </c>
      <c r="C16" s="27">
        <v>265</v>
      </c>
      <c r="D16" s="27">
        <v>715</v>
      </c>
      <c r="E16" s="22" t="str">
        <f t="shared" si="0"/>
        <v>ზარალი</v>
      </c>
    </row>
    <row r="17" spans="2:5" x14ac:dyDescent="0.25">
      <c r="B17" s="26" t="s">
        <v>67</v>
      </c>
      <c r="C17" s="25">
        <v>287</v>
      </c>
      <c r="D17" s="25">
        <v>200</v>
      </c>
      <c r="E17" s="22" t="str">
        <f t="shared" si="0"/>
        <v>მოგება</v>
      </c>
    </row>
    <row r="18" spans="2:5" x14ac:dyDescent="0.25">
      <c r="B18" s="28" t="s">
        <v>66</v>
      </c>
      <c r="C18" s="27">
        <v>368</v>
      </c>
      <c r="D18" s="27">
        <v>469</v>
      </c>
      <c r="E18" s="22" t="str">
        <f t="shared" si="0"/>
        <v>ზარალი</v>
      </c>
    </row>
    <row r="19" spans="2:5" x14ac:dyDescent="0.25">
      <c r="B19" s="26" t="s">
        <v>65</v>
      </c>
      <c r="C19" s="25">
        <v>614</v>
      </c>
      <c r="D19" s="25">
        <v>626</v>
      </c>
      <c r="E19" s="22" t="str">
        <f t="shared" si="0"/>
        <v>ზარალი</v>
      </c>
    </row>
    <row r="20" spans="2:5" x14ac:dyDescent="0.25">
      <c r="B20" s="24" t="s">
        <v>64</v>
      </c>
      <c r="C20" s="23">
        <v>301</v>
      </c>
      <c r="D20" s="23">
        <v>157</v>
      </c>
      <c r="E20" s="22" t="str">
        <f t="shared" si="0"/>
        <v>მოგება</v>
      </c>
    </row>
  </sheetData>
  <mergeCells count="1">
    <mergeCell ref="A2:G5"/>
  </mergeCells>
  <conditionalFormatting sqref="E9:E20">
    <cfRule type="containsText" dxfId="2" priority="1" operator="containsText" text="ზარალ">
      <formula>NOT(ISERROR(SEARCH("ზარალ",E9)))</formula>
    </cfRule>
    <cfRule type="containsText" dxfId="1" priority="2" operator="containsText" text="მოგე">
      <formula>NOT(ISERROR(SEARCH("მოგე",E9)))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E13" sqref="E13"/>
    </sheetView>
  </sheetViews>
  <sheetFormatPr defaultRowHeight="15" x14ac:dyDescent="0.25"/>
  <cols>
    <col min="3" max="3" width="11.28515625" customWidth="1"/>
    <col min="4" max="5" width="22.140625" customWidth="1"/>
    <col min="6" max="6" width="17.42578125" customWidth="1"/>
    <col min="7" max="7" width="76.7109375" customWidth="1"/>
    <col min="8" max="8" width="0.28515625" customWidth="1"/>
    <col min="9" max="9" width="35.140625" customWidth="1"/>
  </cols>
  <sheetData>
    <row r="1" spans="1:9" x14ac:dyDescent="0.25">
      <c r="A1" s="89" t="s">
        <v>85</v>
      </c>
      <c r="B1" s="89"/>
      <c r="C1" s="89"/>
      <c r="D1" s="89"/>
      <c r="E1" s="89"/>
      <c r="F1" s="89"/>
      <c r="G1" s="89"/>
    </row>
    <row r="2" spans="1:9" x14ac:dyDescent="0.25">
      <c r="A2" s="89"/>
      <c r="B2" s="89"/>
      <c r="C2" s="89"/>
      <c r="D2" s="89"/>
      <c r="E2" s="89"/>
      <c r="F2" s="89"/>
      <c r="G2" s="89"/>
    </row>
    <row r="3" spans="1:9" x14ac:dyDescent="0.25">
      <c r="A3" s="89"/>
      <c r="B3" s="89"/>
      <c r="C3" s="89"/>
      <c r="D3" s="89"/>
      <c r="E3" s="89"/>
      <c r="F3" s="89"/>
      <c r="G3" s="89"/>
    </row>
    <row r="5" spans="1:9" x14ac:dyDescent="0.25">
      <c r="C5" s="33" t="s">
        <v>84</v>
      </c>
      <c r="D5" s="32" t="s">
        <v>83</v>
      </c>
      <c r="E5" s="32"/>
      <c r="F5" s="31" t="s">
        <v>77</v>
      </c>
    </row>
    <row r="6" spans="1:9" ht="18.75" x14ac:dyDescent="0.3">
      <c r="C6" s="26">
        <v>451</v>
      </c>
      <c r="D6" s="25">
        <f t="shared" ref="D6:D11" si="0">C6</f>
        <v>451</v>
      </c>
      <c r="E6" s="34">
        <f t="shared" ref="E6:E30" si="1">C6-D6</f>
        <v>0</v>
      </c>
      <c r="F6" s="22" t="str">
        <f t="shared" ref="F6:F30" si="2">IF(C6=D6,"ემთხვევა","არ ემთხვევა")</f>
        <v>ემთხვევა</v>
      </c>
      <c r="G6" s="37" t="str">
        <f ca="1">_xlfn.FORMULATEXT(F6)</f>
        <v>=IF(C6=D6,"ემთხვევა","არ ემთხვევა")</v>
      </c>
      <c r="I6" t="s">
        <v>82</v>
      </c>
    </row>
    <row r="7" spans="1:9" x14ac:dyDescent="0.25">
      <c r="C7" s="28">
        <v>263</v>
      </c>
      <c r="D7" s="27">
        <f t="shared" si="0"/>
        <v>263</v>
      </c>
      <c r="E7" s="34">
        <f t="shared" si="1"/>
        <v>0</v>
      </c>
      <c r="F7" s="22" t="str">
        <f t="shared" si="2"/>
        <v>ემთხვევა</v>
      </c>
    </row>
    <row r="8" spans="1:9" x14ac:dyDescent="0.25">
      <c r="C8" s="26">
        <v>843</v>
      </c>
      <c r="D8" s="25">
        <f t="shared" si="0"/>
        <v>843</v>
      </c>
      <c r="E8" s="34">
        <f t="shared" si="1"/>
        <v>0</v>
      </c>
      <c r="F8" s="22" t="str">
        <f t="shared" si="2"/>
        <v>ემთხვევა</v>
      </c>
    </row>
    <row r="9" spans="1:9" x14ac:dyDescent="0.25">
      <c r="C9" s="28">
        <v>961</v>
      </c>
      <c r="D9" s="27">
        <f t="shared" si="0"/>
        <v>961</v>
      </c>
      <c r="E9" s="34">
        <f t="shared" si="1"/>
        <v>0</v>
      </c>
      <c r="F9" s="22" t="str">
        <f t="shared" si="2"/>
        <v>ემთხვევა</v>
      </c>
    </row>
    <row r="10" spans="1:9" x14ac:dyDescent="0.25">
      <c r="C10" s="26">
        <v>632</v>
      </c>
      <c r="D10" s="25">
        <f t="shared" si="0"/>
        <v>632</v>
      </c>
      <c r="E10" s="34">
        <f t="shared" si="1"/>
        <v>0</v>
      </c>
      <c r="F10" s="22" t="str">
        <f t="shared" si="2"/>
        <v>ემთხვევა</v>
      </c>
    </row>
    <row r="11" spans="1:9" x14ac:dyDescent="0.25">
      <c r="C11" s="28">
        <v>331</v>
      </c>
      <c r="D11" s="27">
        <f t="shared" si="0"/>
        <v>331</v>
      </c>
      <c r="E11" s="34">
        <f t="shared" si="1"/>
        <v>0</v>
      </c>
      <c r="F11" s="22" t="str">
        <f t="shared" si="2"/>
        <v>ემთხვევა</v>
      </c>
    </row>
    <row r="12" spans="1:9" x14ac:dyDescent="0.25">
      <c r="C12" s="26">
        <v>429</v>
      </c>
      <c r="D12" s="25">
        <v>430</v>
      </c>
      <c r="E12" s="34">
        <f t="shared" si="1"/>
        <v>-1</v>
      </c>
      <c r="F12" s="22" t="str">
        <f t="shared" si="2"/>
        <v>არ ემთხვევა</v>
      </c>
    </row>
    <row r="13" spans="1:9" x14ac:dyDescent="0.25">
      <c r="C13" s="28">
        <v>759</v>
      </c>
      <c r="D13" s="27">
        <f>C13</f>
        <v>759</v>
      </c>
      <c r="E13" s="34">
        <f t="shared" si="1"/>
        <v>0</v>
      </c>
      <c r="F13" s="22" t="str">
        <f t="shared" si="2"/>
        <v>ემთხვევა</v>
      </c>
    </row>
    <row r="14" spans="1:9" x14ac:dyDescent="0.25">
      <c r="C14" s="26">
        <v>147</v>
      </c>
      <c r="D14" s="25">
        <f>C14</f>
        <v>147</v>
      </c>
      <c r="E14" s="34">
        <f t="shared" si="1"/>
        <v>0</v>
      </c>
      <c r="F14" s="22" t="str">
        <f t="shared" si="2"/>
        <v>ემთხვევა</v>
      </c>
    </row>
    <row r="15" spans="1:9" x14ac:dyDescent="0.25">
      <c r="C15" s="28">
        <v>530</v>
      </c>
      <c r="D15" s="27">
        <v>531</v>
      </c>
      <c r="E15" s="34">
        <f t="shared" si="1"/>
        <v>-1</v>
      </c>
      <c r="F15" s="22" t="str">
        <f t="shared" si="2"/>
        <v>არ ემთხვევა</v>
      </c>
    </row>
    <row r="16" spans="1:9" x14ac:dyDescent="0.25">
      <c r="C16" s="26">
        <v>580</v>
      </c>
      <c r="D16" s="25">
        <v>581</v>
      </c>
      <c r="E16" s="34">
        <f t="shared" si="1"/>
        <v>-1</v>
      </c>
      <c r="F16" s="22" t="str">
        <f t="shared" si="2"/>
        <v>არ ემთხვევა</v>
      </c>
    </row>
    <row r="17" spans="3:6" x14ac:dyDescent="0.25">
      <c r="C17" s="28">
        <v>512</v>
      </c>
      <c r="D17" s="27">
        <f>C17</f>
        <v>512</v>
      </c>
      <c r="E17" s="34">
        <f t="shared" si="1"/>
        <v>0</v>
      </c>
      <c r="F17" s="22" t="str">
        <f t="shared" si="2"/>
        <v>ემთხვევა</v>
      </c>
    </row>
    <row r="18" spans="3:6" x14ac:dyDescent="0.25">
      <c r="C18" s="26">
        <v>144</v>
      </c>
      <c r="D18" s="25">
        <v>155</v>
      </c>
      <c r="E18" s="34">
        <f t="shared" si="1"/>
        <v>-11</v>
      </c>
      <c r="F18" s="22" t="str">
        <f t="shared" si="2"/>
        <v>არ ემთხვევა</v>
      </c>
    </row>
    <row r="19" spans="3:6" x14ac:dyDescent="0.25">
      <c r="C19" s="28">
        <v>612</v>
      </c>
      <c r="D19" s="27">
        <f>C19</f>
        <v>612</v>
      </c>
      <c r="E19" s="34">
        <f t="shared" si="1"/>
        <v>0</v>
      </c>
      <c r="F19" s="22" t="str">
        <f t="shared" si="2"/>
        <v>ემთხვევა</v>
      </c>
    </row>
    <row r="20" spans="3:6" x14ac:dyDescent="0.25">
      <c r="C20" s="26">
        <v>275</v>
      </c>
      <c r="D20" s="25">
        <f>C20</f>
        <v>275</v>
      </c>
      <c r="E20" s="34">
        <f t="shared" si="1"/>
        <v>0</v>
      </c>
      <c r="F20" s="22" t="str">
        <f t="shared" si="2"/>
        <v>ემთხვევა</v>
      </c>
    </row>
    <row r="21" spans="3:6" x14ac:dyDescent="0.25">
      <c r="C21" s="28">
        <v>455</v>
      </c>
      <c r="D21" s="27">
        <f>C21</f>
        <v>455</v>
      </c>
      <c r="E21" s="34">
        <f t="shared" si="1"/>
        <v>0</v>
      </c>
      <c r="F21" s="22" t="str">
        <f t="shared" si="2"/>
        <v>ემთხვევა</v>
      </c>
    </row>
    <row r="22" spans="3:6" x14ac:dyDescent="0.25">
      <c r="C22" s="26">
        <v>533</v>
      </c>
      <c r="D22" s="25">
        <v>532</v>
      </c>
      <c r="E22" s="34">
        <f t="shared" si="1"/>
        <v>1</v>
      </c>
      <c r="F22" s="22" t="str">
        <f t="shared" si="2"/>
        <v>არ ემთხვევა</v>
      </c>
    </row>
    <row r="23" spans="3:6" x14ac:dyDescent="0.25">
      <c r="C23" s="28">
        <v>776</v>
      </c>
      <c r="D23" s="27">
        <f>C23</f>
        <v>776</v>
      </c>
      <c r="E23" s="34">
        <f t="shared" si="1"/>
        <v>0</v>
      </c>
      <c r="F23" s="22" t="str">
        <f t="shared" si="2"/>
        <v>ემთხვევა</v>
      </c>
    </row>
    <row r="24" spans="3:6" x14ac:dyDescent="0.25">
      <c r="C24" s="26">
        <v>970</v>
      </c>
      <c r="D24" s="25">
        <f>C24</f>
        <v>970</v>
      </c>
      <c r="E24" s="34">
        <f t="shared" si="1"/>
        <v>0</v>
      </c>
      <c r="F24" s="22" t="str">
        <f t="shared" si="2"/>
        <v>ემთხვევა</v>
      </c>
    </row>
    <row r="25" spans="3:6" x14ac:dyDescent="0.25">
      <c r="C25" s="28">
        <v>193</v>
      </c>
      <c r="D25" s="27">
        <v>190</v>
      </c>
      <c r="E25" s="34">
        <f t="shared" si="1"/>
        <v>3</v>
      </c>
      <c r="F25" s="22" t="str">
        <f t="shared" si="2"/>
        <v>არ ემთხვევა</v>
      </c>
    </row>
    <row r="26" spans="3:6" x14ac:dyDescent="0.25">
      <c r="C26" s="26">
        <v>128</v>
      </c>
      <c r="D26" s="25">
        <f>C26</f>
        <v>128</v>
      </c>
      <c r="E26" s="34">
        <f t="shared" si="1"/>
        <v>0</v>
      </c>
      <c r="F26" s="22" t="str">
        <f t="shared" si="2"/>
        <v>ემთხვევა</v>
      </c>
    </row>
    <row r="27" spans="3:6" x14ac:dyDescent="0.25">
      <c r="C27" s="28">
        <v>189</v>
      </c>
      <c r="D27" s="27">
        <f>C27</f>
        <v>189</v>
      </c>
      <c r="E27" s="34">
        <f t="shared" si="1"/>
        <v>0</v>
      </c>
      <c r="F27" s="22" t="str">
        <f t="shared" si="2"/>
        <v>ემთხვევა</v>
      </c>
    </row>
    <row r="28" spans="3:6" x14ac:dyDescent="0.25">
      <c r="C28" s="26">
        <v>776</v>
      </c>
      <c r="D28" s="25">
        <v>777</v>
      </c>
      <c r="E28" s="34">
        <f t="shared" si="1"/>
        <v>-1</v>
      </c>
      <c r="F28" s="22" t="str">
        <f t="shared" si="2"/>
        <v>არ ემთხვევა</v>
      </c>
    </row>
    <row r="29" spans="3:6" x14ac:dyDescent="0.25">
      <c r="C29" s="28">
        <v>261</v>
      </c>
      <c r="D29" s="27">
        <v>262</v>
      </c>
      <c r="E29" s="34">
        <f t="shared" si="1"/>
        <v>-1</v>
      </c>
      <c r="F29" s="22" t="str">
        <f t="shared" si="2"/>
        <v>არ ემთხვევა</v>
      </c>
    </row>
    <row r="30" spans="3:6" x14ac:dyDescent="0.25">
      <c r="C30" s="36">
        <v>705</v>
      </c>
      <c r="D30" s="35">
        <v>406</v>
      </c>
      <c r="E30" s="34">
        <f t="shared" si="1"/>
        <v>299</v>
      </c>
      <c r="F30" s="22" t="str">
        <f t="shared" si="2"/>
        <v>არ ემთხვევა</v>
      </c>
    </row>
  </sheetData>
  <mergeCells count="1">
    <mergeCell ref="A1:G3"/>
  </mergeCells>
  <conditionalFormatting sqref="E6:E3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zoomScale="140" zoomScaleNormal="140" workbookViewId="0">
      <selection activeCell="K18" sqref="K18"/>
    </sheetView>
  </sheetViews>
  <sheetFormatPr defaultRowHeight="15" x14ac:dyDescent="0.25"/>
  <cols>
    <col min="2" max="2" width="26.5703125" customWidth="1"/>
    <col min="3" max="3" width="12" customWidth="1"/>
    <col min="4" max="4" width="17.28515625" customWidth="1"/>
    <col min="5" max="5" width="11.28515625" customWidth="1"/>
    <col min="6" max="6" width="31.42578125" customWidth="1"/>
    <col min="7" max="7" width="16.28515625" customWidth="1"/>
  </cols>
  <sheetData>
    <row r="1" spans="1:8" ht="14.45" customHeight="1" x14ac:dyDescent="0.25">
      <c r="A1" s="90" t="s">
        <v>101</v>
      </c>
      <c r="B1" s="90"/>
      <c r="C1" s="90"/>
      <c r="D1" s="90"/>
      <c r="E1" s="90"/>
      <c r="F1" s="90"/>
      <c r="G1" s="90"/>
    </row>
    <row r="2" spans="1:8" x14ac:dyDescent="0.25">
      <c r="A2" s="90"/>
      <c r="B2" s="90"/>
      <c r="C2" s="90"/>
      <c r="D2" s="90"/>
      <c r="E2" s="90"/>
      <c r="F2" s="90"/>
      <c r="G2" s="90"/>
    </row>
    <row r="3" spans="1:8" x14ac:dyDescent="0.25">
      <c r="A3" s="90"/>
      <c r="B3" s="90"/>
      <c r="C3" s="90"/>
      <c r="D3" s="90"/>
      <c r="E3" s="90"/>
      <c r="F3" s="90"/>
      <c r="G3" s="90"/>
    </row>
    <row r="4" spans="1:8" x14ac:dyDescent="0.25">
      <c r="A4" s="90"/>
      <c r="B4" s="90"/>
      <c r="C4" s="90"/>
      <c r="D4" s="90"/>
      <c r="E4" s="90"/>
      <c r="F4" s="90"/>
      <c r="G4" s="90"/>
    </row>
    <row r="5" spans="1:8" x14ac:dyDescent="0.25">
      <c r="A5" s="90"/>
      <c r="B5" s="90"/>
      <c r="C5" s="90"/>
      <c r="D5" s="90"/>
      <c r="E5" s="90"/>
      <c r="F5" s="90"/>
      <c r="G5" s="90"/>
    </row>
    <row r="10" spans="1:8" x14ac:dyDescent="0.25">
      <c r="B10" s="33" t="s">
        <v>100</v>
      </c>
      <c r="C10" s="32" t="s">
        <v>99</v>
      </c>
      <c r="D10" s="32" t="s">
        <v>98</v>
      </c>
      <c r="E10" s="32" t="s">
        <v>97</v>
      </c>
      <c r="F10" s="93" t="s">
        <v>242</v>
      </c>
    </row>
    <row r="11" spans="1:8" x14ac:dyDescent="0.25">
      <c r="B11" s="26" t="s">
        <v>96</v>
      </c>
      <c r="C11" s="25">
        <v>9000</v>
      </c>
      <c r="D11" s="25">
        <v>10</v>
      </c>
      <c r="E11" s="25">
        <f t="shared" ref="E11:E20" si="0">IF(D11&lt;=2,C11*5%,IF(D11&lt;=5,C11*10%,C11*20%))</f>
        <v>1800</v>
      </c>
      <c r="F11" cm="1">
        <f t="array" ref="F11">_xlfn.IFS(D11&lt;=2,C11*5%,D11&lt;=5,C11*10%,D11&gt;=5,C11*20%)</f>
        <v>1800</v>
      </c>
      <c r="G11" t="b">
        <f>E11=F11</f>
        <v>1</v>
      </c>
      <c r="H11" t="s">
        <v>95</v>
      </c>
    </row>
    <row r="12" spans="1:8" x14ac:dyDescent="0.25">
      <c r="B12" s="28" t="s">
        <v>94</v>
      </c>
      <c r="C12" s="27">
        <v>8000</v>
      </c>
      <c r="D12" s="27">
        <v>1</v>
      </c>
      <c r="E12" s="25">
        <f t="shared" si="0"/>
        <v>400</v>
      </c>
      <c r="F12" cm="1">
        <f t="array" ref="F12">_xlfn.IFS(D12&lt;=2,C12*5%,D12&lt;=5,C12*10%,D12&gt;=5,C12*20%)</f>
        <v>400</v>
      </c>
      <c r="G12" t="b">
        <f t="shared" ref="G12:G20" si="1">E12=F12</f>
        <v>1</v>
      </c>
    </row>
    <row r="13" spans="1:8" x14ac:dyDescent="0.25">
      <c r="B13" s="26" t="s">
        <v>93</v>
      </c>
      <c r="C13" s="25">
        <v>1000</v>
      </c>
      <c r="D13" s="25">
        <v>6</v>
      </c>
      <c r="E13" s="25">
        <f t="shared" si="0"/>
        <v>200</v>
      </c>
      <c r="F13" cm="1">
        <f t="array" ref="F13">_xlfn.IFS(D13&lt;=2,C13*5%,D13&lt;=5,C13*10%,D13&gt;=5,C13*20%)</f>
        <v>200</v>
      </c>
      <c r="G13" t="b">
        <f t="shared" si="1"/>
        <v>1</v>
      </c>
    </row>
    <row r="14" spans="1:8" x14ac:dyDescent="0.25">
      <c r="B14" s="28" t="s">
        <v>92</v>
      </c>
      <c r="C14" s="27">
        <v>7000</v>
      </c>
      <c r="D14" s="27">
        <v>9</v>
      </c>
      <c r="E14" s="25">
        <f t="shared" si="0"/>
        <v>1400</v>
      </c>
      <c r="F14" cm="1">
        <f t="array" ref="F14">_xlfn.IFS(D14&lt;=2,C14*5%,D14&lt;=5,C14*10%,D14&gt;=5,C14*20%)</f>
        <v>1400</v>
      </c>
      <c r="G14" t="b">
        <f t="shared" si="1"/>
        <v>1</v>
      </c>
    </row>
    <row r="15" spans="1:8" x14ac:dyDescent="0.25">
      <c r="B15" s="26" t="s">
        <v>91</v>
      </c>
      <c r="C15" s="25">
        <v>4000</v>
      </c>
      <c r="D15" s="25">
        <v>2</v>
      </c>
      <c r="E15" s="25">
        <f t="shared" si="0"/>
        <v>200</v>
      </c>
      <c r="F15" cm="1">
        <f t="array" ref="F15">_xlfn.IFS(D15&lt;=2,C15*5%,D15&lt;=5,C15*10%,D15&gt;=5,C15*20%)</f>
        <v>200</v>
      </c>
      <c r="G15" t="b">
        <f t="shared" si="1"/>
        <v>1</v>
      </c>
    </row>
    <row r="16" spans="1:8" x14ac:dyDescent="0.25">
      <c r="B16" s="28" t="s">
        <v>90</v>
      </c>
      <c r="C16" s="27">
        <v>6000</v>
      </c>
      <c r="D16" s="27">
        <v>9</v>
      </c>
      <c r="E16" s="25">
        <f t="shared" si="0"/>
        <v>1200</v>
      </c>
      <c r="F16" cm="1">
        <f t="array" ref="F16">_xlfn.IFS(D16&lt;=2,C16*5%,D16&lt;=5,C16*10%,D16&gt;=5,C16*20%)</f>
        <v>1200</v>
      </c>
      <c r="G16" t="b">
        <f t="shared" si="1"/>
        <v>1</v>
      </c>
    </row>
    <row r="17" spans="2:7" x14ac:dyDescent="0.25">
      <c r="B17" s="26" t="s">
        <v>89</v>
      </c>
      <c r="C17" s="25">
        <v>3000</v>
      </c>
      <c r="D17" s="25">
        <v>6</v>
      </c>
      <c r="E17" s="25">
        <f t="shared" si="0"/>
        <v>600</v>
      </c>
      <c r="F17" cm="1">
        <f t="array" ref="F17">_xlfn.IFS(D17&lt;=2,C17*5%,D17&lt;=5,C17*10%,D17&gt;=5,C17*20%)</f>
        <v>600</v>
      </c>
      <c r="G17" t="b">
        <f t="shared" si="1"/>
        <v>1</v>
      </c>
    </row>
    <row r="18" spans="2:7" x14ac:dyDescent="0.25">
      <c r="B18" s="28" t="s">
        <v>88</v>
      </c>
      <c r="C18" s="27">
        <v>3000</v>
      </c>
      <c r="D18" s="27">
        <v>3</v>
      </c>
      <c r="E18" s="25">
        <f t="shared" si="0"/>
        <v>300</v>
      </c>
      <c r="F18" cm="1">
        <f t="array" ref="F18">_xlfn.IFS(D18&lt;=2,C18*5%,D18&lt;=5,C18*10%,D18&gt;=5,C18*20%)</f>
        <v>300</v>
      </c>
      <c r="G18" t="b">
        <f t="shared" si="1"/>
        <v>1</v>
      </c>
    </row>
    <row r="19" spans="2:7" x14ac:dyDescent="0.25">
      <c r="B19" s="26" t="s">
        <v>87</v>
      </c>
      <c r="C19" s="25">
        <v>10000</v>
      </c>
      <c r="D19" s="25">
        <v>8</v>
      </c>
      <c r="E19" s="25">
        <f t="shared" si="0"/>
        <v>2000</v>
      </c>
      <c r="F19" cm="1">
        <f t="array" ref="F19">_xlfn.IFS(D19&lt;=2,C19*5%,D19&lt;=5,C19*10%,D19&gt;=5,C19*20%)</f>
        <v>2000</v>
      </c>
      <c r="G19" t="b">
        <f t="shared" si="1"/>
        <v>1</v>
      </c>
    </row>
    <row r="20" spans="2:7" x14ac:dyDescent="0.25">
      <c r="B20" s="24" t="s">
        <v>86</v>
      </c>
      <c r="C20" s="23">
        <v>8000</v>
      </c>
      <c r="D20" s="23">
        <v>8</v>
      </c>
      <c r="E20" s="25">
        <f t="shared" si="0"/>
        <v>1600</v>
      </c>
      <c r="F20" cm="1">
        <f t="array" ref="F20">_xlfn.IFS(D20&lt;=2,C20*5%,D20&lt;=5,C20*10%,D20&gt;=5,C20*20%)</f>
        <v>1600</v>
      </c>
      <c r="G20" t="b">
        <f t="shared" si="1"/>
        <v>1</v>
      </c>
    </row>
    <row r="23" spans="2:7" ht="26.25" x14ac:dyDescent="0.4">
      <c r="B23" s="94" t="str">
        <f ca="1">_xlfn.FORMULATEXT(E11)</f>
        <v>=IF(D11&lt;=2,C11*5%,IF(D11&lt;=5,C11*10%,C11*20%))</v>
      </c>
    </row>
    <row r="24" spans="2:7" ht="26.25" x14ac:dyDescent="0.4">
      <c r="B24" s="95" t="str">
        <f ca="1">_xlfn.FORMULATEXT(F11)</f>
        <v>=IFS(D11&lt;=2,C11*5%,D11&lt;=5,C11*10%,D11&gt;=5,C11*20%)</v>
      </c>
    </row>
    <row r="25" spans="2:7" ht="26.25" x14ac:dyDescent="0.4">
      <c r="B25" s="95"/>
    </row>
  </sheetData>
  <mergeCells count="1">
    <mergeCell ref="A1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9"/>
  <sheetViews>
    <sheetView topLeftCell="B1" workbookViewId="0">
      <selection activeCell="H12" sqref="H12"/>
    </sheetView>
  </sheetViews>
  <sheetFormatPr defaultColWidth="20.28515625" defaultRowHeight="26.25" x14ac:dyDescent="0.4"/>
  <cols>
    <col min="1" max="5" width="20.28515625" style="97"/>
    <col min="6" max="6" width="23.7109375" style="108" customWidth="1"/>
    <col min="7" max="7" width="40.28515625" style="97" customWidth="1"/>
    <col min="8" max="16384" width="20.28515625" style="97"/>
  </cols>
  <sheetData>
    <row r="1" spans="1:21" x14ac:dyDescent="0.4">
      <c r="A1" s="96" t="s">
        <v>137</v>
      </c>
      <c r="B1" s="96"/>
      <c r="C1" s="96"/>
      <c r="D1" s="96"/>
      <c r="E1" s="96"/>
      <c r="F1" s="96"/>
      <c r="G1" s="96"/>
    </row>
    <row r="2" spans="1:21" ht="39" customHeight="1" x14ac:dyDescent="0.4">
      <c r="A2" s="96"/>
      <c r="B2" s="96"/>
      <c r="C2" s="96"/>
      <c r="D2" s="96"/>
      <c r="E2" s="96"/>
      <c r="F2" s="96"/>
      <c r="G2" s="96"/>
    </row>
    <row r="3" spans="1:21" ht="2.25" customHeight="1" x14ac:dyDescent="0.4">
      <c r="H3" s="107" t="str">
        <f ca="1">_xlfn.FORMULATEXT(F5)</f>
        <v>=IF(E5="Gold",C5*94%,IF(E5="Classic",C5*97%,C5))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 spans="1:21" x14ac:dyDescent="0.4">
      <c r="B4" s="98" t="s">
        <v>136</v>
      </c>
      <c r="C4" s="99" t="s">
        <v>135</v>
      </c>
      <c r="D4" s="100" t="s">
        <v>134</v>
      </c>
      <c r="E4" s="99" t="s">
        <v>133</v>
      </c>
      <c r="F4" s="109" t="s">
        <v>132</v>
      </c>
      <c r="G4" s="111" t="s">
        <v>243</v>
      </c>
    </row>
    <row r="5" spans="1:21" ht="21.75" customHeight="1" x14ac:dyDescent="0.4">
      <c r="B5" s="101" t="s">
        <v>131</v>
      </c>
      <c r="C5" s="102">
        <v>40</v>
      </c>
      <c r="D5" s="102" t="s">
        <v>110</v>
      </c>
      <c r="E5" s="102" t="s">
        <v>112</v>
      </c>
      <c r="F5" s="110">
        <f t="shared" ref="F5:F29" si="0">IF(E5="Gold",C5*94%,IF(E5="Classic",C5*97%,C5))</f>
        <v>37.599999999999994</v>
      </c>
      <c r="G5" s="112" cm="1">
        <f t="array" ref="G5">_xlfn.IFS(E5="Gold",C5*(1-6%),E5="Classic",C5*(1-3%),E5="Standart",C5)</f>
        <v>37.599999999999994</v>
      </c>
    </row>
    <row r="6" spans="1:21" x14ac:dyDescent="0.4">
      <c r="B6" s="103" t="s">
        <v>130</v>
      </c>
      <c r="C6" s="104">
        <v>32</v>
      </c>
      <c r="D6" s="104" t="s">
        <v>103</v>
      </c>
      <c r="E6" s="104" t="s">
        <v>107</v>
      </c>
      <c r="F6" s="110">
        <f t="shared" si="0"/>
        <v>31.04</v>
      </c>
      <c r="G6" s="112" cm="1">
        <f t="array" ref="G6">_xlfn.IFS(E6="Gold",C6*(1-6%),E6="Classic",C6*(1-3%),E6="Standart",C6)</f>
        <v>31.04</v>
      </c>
    </row>
    <row r="7" spans="1:21" x14ac:dyDescent="0.4">
      <c r="B7" s="101" t="s">
        <v>129</v>
      </c>
      <c r="C7" s="102">
        <v>36</v>
      </c>
      <c r="D7" s="102" t="s">
        <v>103</v>
      </c>
      <c r="E7" s="102" t="s">
        <v>112</v>
      </c>
      <c r="F7" s="110">
        <f t="shared" si="0"/>
        <v>33.839999999999996</v>
      </c>
      <c r="G7" s="112" cm="1">
        <f t="array" ref="G7">_xlfn.IFS(E7="Gold",C7*(1-6%),E7="Classic",C7*(1-3%),E7="Standart",C7)</f>
        <v>33.839999999999996</v>
      </c>
    </row>
    <row r="8" spans="1:21" x14ac:dyDescent="0.4">
      <c r="B8" s="103" t="s">
        <v>128</v>
      </c>
      <c r="C8" s="104">
        <v>27</v>
      </c>
      <c r="D8" s="104" t="s">
        <v>110</v>
      </c>
      <c r="E8" s="104" t="s">
        <v>107</v>
      </c>
      <c r="F8" s="110">
        <f t="shared" si="0"/>
        <v>26.189999999999998</v>
      </c>
      <c r="G8" s="112" cm="1">
        <f t="array" ref="G8">_xlfn.IFS(E8="Gold",C8*(1-6%),E8="Classic",C8*(1-3%),E8="Standart",C8)</f>
        <v>26.189999999999998</v>
      </c>
    </row>
    <row r="9" spans="1:21" x14ac:dyDescent="0.4">
      <c r="B9" s="101" t="s">
        <v>127</v>
      </c>
      <c r="C9" s="102">
        <v>31</v>
      </c>
      <c r="D9" s="102" t="s">
        <v>103</v>
      </c>
      <c r="E9" s="102" t="s">
        <v>107</v>
      </c>
      <c r="F9" s="110">
        <f t="shared" si="0"/>
        <v>30.07</v>
      </c>
      <c r="G9" s="112" cm="1">
        <f t="array" ref="G9">_xlfn.IFS(E9="Gold",C9*(1-6%),E9="Classic",C9*(1-3%),E9="Standart",C9)</f>
        <v>30.07</v>
      </c>
    </row>
    <row r="10" spans="1:21" x14ac:dyDescent="0.4">
      <c r="B10" s="103" t="s">
        <v>126</v>
      </c>
      <c r="C10" s="104">
        <v>39</v>
      </c>
      <c r="D10" s="104" t="s">
        <v>103</v>
      </c>
      <c r="E10" s="104" t="s">
        <v>107</v>
      </c>
      <c r="F10" s="110">
        <f t="shared" si="0"/>
        <v>37.83</v>
      </c>
      <c r="G10" s="112" cm="1">
        <f t="array" ref="G10">_xlfn.IFS(E10="Gold",C10*(1-6%),E10="Classic",C10*(1-3%),E10="Standart",C10)</f>
        <v>37.83</v>
      </c>
    </row>
    <row r="11" spans="1:21" x14ac:dyDescent="0.4">
      <c r="B11" s="101" t="s">
        <v>125</v>
      </c>
      <c r="C11" s="102">
        <v>24</v>
      </c>
      <c r="D11" s="102" t="s">
        <v>103</v>
      </c>
      <c r="E11" s="102" t="s">
        <v>102</v>
      </c>
      <c r="F11" s="110">
        <f t="shared" si="0"/>
        <v>24</v>
      </c>
      <c r="G11" s="112" cm="1">
        <f t="array" ref="G11">_xlfn.IFS(E11="Gold",C11*(1-6%),E11="Classic",C11*(1-3%),E11="Standart",C11)</f>
        <v>24</v>
      </c>
    </row>
    <row r="12" spans="1:21" x14ac:dyDescent="0.4">
      <c r="B12" s="103" t="s">
        <v>124</v>
      </c>
      <c r="C12" s="104">
        <v>50</v>
      </c>
      <c r="D12" s="104" t="s">
        <v>110</v>
      </c>
      <c r="E12" s="104" t="s">
        <v>102</v>
      </c>
      <c r="F12" s="110">
        <f t="shared" si="0"/>
        <v>50</v>
      </c>
      <c r="G12" s="112" cm="1">
        <f t="array" ref="G12">_xlfn.IFS(E12="Gold",C12*(1-6%),E12="Classic",C12*(1-3%),E12="Standart",C12)</f>
        <v>50</v>
      </c>
    </row>
    <row r="13" spans="1:21" x14ac:dyDescent="0.4">
      <c r="B13" s="101" t="s">
        <v>123</v>
      </c>
      <c r="C13" s="102">
        <v>24</v>
      </c>
      <c r="D13" s="102" t="s">
        <v>103</v>
      </c>
      <c r="E13" s="102" t="s">
        <v>102</v>
      </c>
      <c r="F13" s="110">
        <f t="shared" si="0"/>
        <v>24</v>
      </c>
      <c r="G13" s="112" cm="1">
        <f t="array" ref="G13">_xlfn.IFS(E13="Gold",C13*(1-6%),E13="Classic",C13*(1-3%),E13="Standart",C13)</f>
        <v>24</v>
      </c>
    </row>
    <row r="14" spans="1:21" x14ac:dyDescent="0.4">
      <c r="B14" s="103" t="s">
        <v>122</v>
      </c>
      <c r="C14" s="104">
        <v>24</v>
      </c>
      <c r="D14" s="104" t="s">
        <v>103</v>
      </c>
      <c r="E14" s="104" t="s">
        <v>102</v>
      </c>
      <c r="F14" s="110">
        <f t="shared" si="0"/>
        <v>24</v>
      </c>
      <c r="G14" s="112" cm="1">
        <f t="array" ref="G14">_xlfn.IFS(E14="Gold",C14*(1-6%),E14="Classic",C14*(1-3%),E14="Standart",C14)</f>
        <v>24</v>
      </c>
    </row>
    <row r="15" spans="1:21" x14ac:dyDescent="0.4">
      <c r="B15" s="101" t="s">
        <v>121</v>
      </c>
      <c r="C15" s="102">
        <v>42</v>
      </c>
      <c r="D15" s="102" t="s">
        <v>103</v>
      </c>
      <c r="E15" s="102" t="s">
        <v>112</v>
      </c>
      <c r="F15" s="110">
        <f t="shared" si="0"/>
        <v>39.479999999999997</v>
      </c>
      <c r="G15" s="112" cm="1">
        <f t="array" ref="G15">_xlfn.IFS(E15="Gold",C15*(1-6%),E15="Classic",C15*(1-3%),E15="Standart",C15)</f>
        <v>39.479999999999997</v>
      </c>
    </row>
    <row r="16" spans="1:21" x14ac:dyDescent="0.4">
      <c r="B16" s="103" t="s">
        <v>120</v>
      </c>
      <c r="C16" s="104">
        <v>52</v>
      </c>
      <c r="D16" s="104" t="s">
        <v>110</v>
      </c>
      <c r="E16" s="104" t="s">
        <v>107</v>
      </c>
      <c r="F16" s="110">
        <f t="shared" si="0"/>
        <v>50.44</v>
      </c>
      <c r="G16" s="112" cm="1">
        <f t="array" ref="G16">_xlfn.IFS(E16="Gold",C16*(1-6%),E16="Classic",C16*(1-3%),E16="Standart",C16)</f>
        <v>50.44</v>
      </c>
    </row>
    <row r="17" spans="2:7" x14ac:dyDescent="0.4">
      <c r="B17" s="101" t="s">
        <v>119</v>
      </c>
      <c r="C17" s="102">
        <v>46</v>
      </c>
      <c r="D17" s="102" t="s">
        <v>103</v>
      </c>
      <c r="E17" s="102" t="s">
        <v>107</v>
      </c>
      <c r="F17" s="110">
        <f t="shared" si="0"/>
        <v>44.62</v>
      </c>
      <c r="G17" s="112" cm="1">
        <f t="array" ref="G17">_xlfn.IFS(E17="Gold",C17*(1-6%),E17="Classic",C17*(1-3%),E17="Standart",C17)</f>
        <v>44.62</v>
      </c>
    </row>
    <row r="18" spans="2:7" x14ac:dyDescent="0.4">
      <c r="B18" s="103" t="s">
        <v>118</v>
      </c>
      <c r="C18" s="104">
        <v>49</v>
      </c>
      <c r="D18" s="104" t="s">
        <v>103</v>
      </c>
      <c r="E18" s="104" t="s">
        <v>107</v>
      </c>
      <c r="F18" s="110">
        <f t="shared" si="0"/>
        <v>47.53</v>
      </c>
      <c r="G18" s="112" cm="1">
        <f t="array" ref="G18">_xlfn.IFS(E18="Gold",C18*(1-6%),E18="Classic",C18*(1-3%),E18="Standart",C18)</f>
        <v>47.53</v>
      </c>
    </row>
    <row r="19" spans="2:7" x14ac:dyDescent="0.4">
      <c r="B19" s="101" t="s">
        <v>117</v>
      </c>
      <c r="C19" s="102">
        <v>51</v>
      </c>
      <c r="D19" s="102" t="s">
        <v>103</v>
      </c>
      <c r="E19" s="102" t="s">
        <v>102</v>
      </c>
      <c r="F19" s="110">
        <f t="shared" si="0"/>
        <v>51</v>
      </c>
      <c r="G19" s="112" cm="1">
        <f t="array" ref="G19">_xlfn.IFS(E19="Gold",C19*(1-6%),E19="Classic",C19*(1-3%),E19="Standart",C19)</f>
        <v>51</v>
      </c>
    </row>
    <row r="20" spans="2:7" x14ac:dyDescent="0.4">
      <c r="B20" s="103" t="s">
        <v>116</v>
      </c>
      <c r="C20" s="104">
        <v>30</v>
      </c>
      <c r="D20" s="104" t="s">
        <v>110</v>
      </c>
      <c r="E20" s="104" t="s">
        <v>102</v>
      </c>
      <c r="F20" s="110">
        <f t="shared" si="0"/>
        <v>30</v>
      </c>
      <c r="G20" s="112" cm="1">
        <f t="array" ref="G20">_xlfn.IFS(E20="Gold",C20*(1-6%),E20="Classic",C20*(1-3%),E20="Standart",C20)</f>
        <v>30</v>
      </c>
    </row>
    <row r="21" spans="2:7" x14ac:dyDescent="0.4">
      <c r="B21" s="101" t="s">
        <v>115</v>
      </c>
      <c r="C21" s="102">
        <v>38</v>
      </c>
      <c r="D21" s="102" t="s">
        <v>103</v>
      </c>
      <c r="E21" s="102" t="s">
        <v>102</v>
      </c>
      <c r="F21" s="110">
        <f t="shared" si="0"/>
        <v>38</v>
      </c>
      <c r="G21" s="112" cm="1">
        <f t="array" ref="G21">_xlfn.IFS(E21="Gold",C21*(1-6%),E21="Classic",C21*(1-3%),E21="Standart",C21)</f>
        <v>38</v>
      </c>
    </row>
    <row r="22" spans="2:7" x14ac:dyDescent="0.4">
      <c r="B22" s="103" t="s">
        <v>114</v>
      </c>
      <c r="C22" s="104">
        <v>59</v>
      </c>
      <c r="D22" s="104" t="s">
        <v>103</v>
      </c>
      <c r="E22" s="104" t="s">
        <v>102</v>
      </c>
      <c r="F22" s="110">
        <f t="shared" si="0"/>
        <v>59</v>
      </c>
      <c r="G22" s="112" cm="1">
        <f t="array" ref="G22">_xlfn.IFS(E22="Gold",C22*(1-6%),E22="Classic",C22*(1-3%),E22="Standart",C22)</f>
        <v>59</v>
      </c>
    </row>
    <row r="23" spans="2:7" x14ac:dyDescent="0.4">
      <c r="B23" s="101" t="s">
        <v>113</v>
      </c>
      <c r="C23" s="102">
        <v>57</v>
      </c>
      <c r="D23" s="102" t="s">
        <v>103</v>
      </c>
      <c r="E23" s="102" t="s">
        <v>112</v>
      </c>
      <c r="F23" s="110">
        <f t="shared" si="0"/>
        <v>53.58</v>
      </c>
      <c r="G23" s="112" cm="1">
        <f t="array" ref="G23">_xlfn.IFS(E23="Gold",C23*(1-6%),E23="Classic",C23*(1-3%),E23="Standart",C23)</f>
        <v>53.58</v>
      </c>
    </row>
    <row r="24" spans="2:7" x14ac:dyDescent="0.4">
      <c r="B24" s="103" t="s">
        <v>111</v>
      </c>
      <c r="C24" s="104">
        <v>31</v>
      </c>
      <c r="D24" s="104" t="s">
        <v>110</v>
      </c>
      <c r="E24" s="104" t="s">
        <v>107</v>
      </c>
      <c r="F24" s="110">
        <f t="shared" si="0"/>
        <v>30.07</v>
      </c>
      <c r="G24" s="112" cm="1">
        <f t="array" ref="G24">_xlfn.IFS(E24="Gold",C24*(1-6%),E24="Classic",C24*(1-3%),E24="Standart",C24)</f>
        <v>30.07</v>
      </c>
    </row>
    <row r="25" spans="2:7" x14ac:dyDescent="0.4">
      <c r="B25" s="101" t="s">
        <v>109</v>
      </c>
      <c r="C25" s="102">
        <v>56</v>
      </c>
      <c r="D25" s="102" t="s">
        <v>103</v>
      </c>
      <c r="E25" s="102" t="s">
        <v>107</v>
      </c>
      <c r="F25" s="110">
        <f t="shared" si="0"/>
        <v>54.32</v>
      </c>
      <c r="G25" s="112" cm="1">
        <f t="array" ref="G25">_xlfn.IFS(E25="Gold",C25*(1-6%),E25="Classic",C25*(1-3%),E25="Standart",C25)</f>
        <v>54.32</v>
      </c>
    </row>
    <row r="26" spans="2:7" x14ac:dyDescent="0.4">
      <c r="B26" s="103" t="s">
        <v>108</v>
      </c>
      <c r="C26" s="104">
        <v>46</v>
      </c>
      <c r="D26" s="104" t="s">
        <v>103</v>
      </c>
      <c r="E26" s="104" t="s">
        <v>107</v>
      </c>
      <c r="F26" s="110">
        <f t="shared" si="0"/>
        <v>44.62</v>
      </c>
      <c r="G26" s="112" cm="1">
        <f t="array" ref="G26">_xlfn.IFS(E26="Gold",C26*(1-6%),E26="Classic",C26*(1-3%),E26="Standart",C26)</f>
        <v>44.62</v>
      </c>
    </row>
    <row r="27" spans="2:7" x14ac:dyDescent="0.4">
      <c r="B27" s="101" t="s">
        <v>106</v>
      </c>
      <c r="C27" s="102">
        <v>21</v>
      </c>
      <c r="D27" s="102" t="s">
        <v>103</v>
      </c>
      <c r="E27" s="102" t="s">
        <v>102</v>
      </c>
      <c r="F27" s="110">
        <f t="shared" si="0"/>
        <v>21</v>
      </c>
      <c r="G27" s="112" cm="1">
        <f t="array" ref="G27">_xlfn.IFS(E27="Gold",C27*(1-6%),E27="Classic",C27*(1-3%),E27="Standart",C27)</f>
        <v>21</v>
      </c>
    </row>
    <row r="28" spans="2:7" x14ac:dyDescent="0.4">
      <c r="B28" s="103" t="s">
        <v>105</v>
      </c>
      <c r="C28" s="104">
        <v>53</v>
      </c>
      <c r="D28" s="104" t="s">
        <v>103</v>
      </c>
      <c r="E28" s="104" t="s">
        <v>102</v>
      </c>
      <c r="F28" s="110">
        <f t="shared" si="0"/>
        <v>53</v>
      </c>
      <c r="G28" s="112" cm="1">
        <f t="array" ref="G28">_xlfn.IFS(E28="Gold",C28*(1-6%),E28="Classic",C28*(1-3%),E28="Standart",C28)</f>
        <v>53</v>
      </c>
    </row>
    <row r="29" spans="2:7" x14ac:dyDescent="0.4">
      <c r="B29" s="105" t="s">
        <v>104</v>
      </c>
      <c r="C29" s="106">
        <v>48</v>
      </c>
      <c r="D29" s="106" t="s">
        <v>103</v>
      </c>
      <c r="E29" s="106" t="s">
        <v>102</v>
      </c>
      <c r="F29" s="110">
        <f t="shared" si="0"/>
        <v>48</v>
      </c>
      <c r="G29" s="112" cm="1">
        <f t="array" ref="G29">_xlfn.IFS(E29="Gold",C29*(1-6%),E29="Classic",C29*(1-3%),E29="Standart",C29)</f>
        <v>48</v>
      </c>
    </row>
  </sheetData>
  <mergeCells count="2">
    <mergeCell ref="A1:G2"/>
    <mergeCell ref="H3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zoomScale="140" zoomScaleNormal="140" workbookViewId="0">
      <selection activeCell="F24" sqref="F24"/>
    </sheetView>
  </sheetViews>
  <sheetFormatPr defaultRowHeight="15" x14ac:dyDescent="0.25"/>
  <cols>
    <col min="1" max="1" width="15.28515625" bestFit="1" customWidth="1"/>
    <col min="3" max="3" width="12.5703125" customWidth="1"/>
    <col min="4" max="4" width="12.140625" customWidth="1"/>
    <col min="5" max="5" width="11" customWidth="1"/>
    <col min="6" max="6" width="13" bestFit="1" customWidth="1"/>
    <col min="7" max="7" width="17.85546875" customWidth="1"/>
    <col min="8" max="8" width="12.42578125" customWidth="1"/>
    <col min="9" max="9" width="18.85546875" customWidth="1"/>
    <col min="10" max="10" width="16.5703125" customWidth="1"/>
    <col min="11" max="11" width="28" bestFit="1" customWidth="1"/>
  </cols>
  <sheetData>
    <row r="1" spans="1:11" x14ac:dyDescent="0.25">
      <c r="A1" s="55" t="s">
        <v>187</v>
      </c>
      <c r="B1" s="55"/>
      <c r="C1" s="55">
        <v>80</v>
      </c>
      <c r="D1" s="55">
        <v>85</v>
      </c>
      <c r="E1" s="55">
        <v>90</v>
      </c>
    </row>
    <row r="2" spans="1:11" x14ac:dyDescent="0.25">
      <c r="H2" s="54" t="s">
        <v>186</v>
      </c>
    </row>
    <row r="3" spans="1:11" ht="15.75" x14ac:dyDescent="0.25">
      <c r="F3" s="53" t="s">
        <v>185</v>
      </c>
      <c r="G3" s="52" t="s">
        <v>52</v>
      </c>
      <c r="H3" s="91" t="s">
        <v>48</v>
      </c>
    </row>
    <row r="4" spans="1:11" x14ac:dyDescent="0.25">
      <c r="A4" s="51" t="s">
        <v>184</v>
      </c>
      <c r="B4" s="51"/>
      <c r="C4" s="51" t="s">
        <v>183</v>
      </c>
      <c r="D4" s="51" t="s">
        <v>182</v>
      </c>
      <c r="E4" s="51" t="s">
        <v>181</v>
      </c>
      <c r="F4" s="50" t="s">
        <v>180</v>
      </c>
      <c r="G4" s="50" t="s">
        <v>179</v>
      </c>
      <c r="H4" s="91"/>
    </row>
    <row r="5" spans="1:11" ht="20.25" customHeight="1" x14ac:dyDescent="0.25">
      <c r="A5" t="s">
        <v>178</v>
      </c>
      <c r="C5">
        <v>85</v>
      </c>
      <c r="D5">
        <v>90</v>
      </c>
      <c r="E5">
        <v>91</v>
      </c>
      <c r="F5" t="b">
        <f t="shared" ref="F5:F14" si="0">AND(C5&gt;=$C$1,D5&gt;=$D$1,E5&gt;=$E$1)</f>
        <v>1</v>
      </c>
      <c r="G5" t="b">
        <f t="shared" ref="G5:G14" si="1">OR(C5&gt;=$C$1,D5&gt;=$D$1,E5&gt;=$E$1)</f>
        <v>1</v>
      </c>
      <c r="H5" t="b">
        <f t="shared" ref="H5:H14" si="2">NOT(G5)</f>
        <v>0</v>
      </c>
      <c r="I5" t="str">
        <f t="shared" ref="I5:I14" si="3">IF(AND(C5&gt;=$C$1,D5&gt;=$D$1,E5&gt;=$E$1),$F$4,IF(OR(C5&gt;=$C$1,D5&gt;=$D$1,E5&gt;=$E$1),$G$4,"ara"))</f>
        <v>მიღებულია</v>
      </c>
      <c r="K5" t="str">
        <f t="shared" ref="K5:K14" si="4">IF(AND(C5&gt;=$C$1,D5&gt;=$D$1,E5&gt;=$E$1),$F$4,IF(OR(C5&gt;=$C$1,D5&gt;=$D$1,E5&gt;=$E$1),$G$4,"ჩაიჭრა"))</f>
        <v>მიღებულია</v>
      </c>
    </row>
    <row r="6" spans="1:11" x14ac:dyDescent="0.25">
      <c r="A6" t="s">
        <v>177</v>
      </c>
      <c r="C6">
        <v>69</v>
      </c>
      <c r="D6">
        <v>76</v>
      </c>
      <c r="E6">
        <v>78</v>
      </c>
      <c r="F6" t="b">
        <f t="shared" si="0"/>
        <v>0</v>
      </c>
      <c r="G6" t="b">
        <f t="shared" si="1"/>
        <v>0</v>
      </c>
      <c r="H6" t="b">
        <f t="shared" si="2"/>
        <v>1</v>
      </c>
      <c r="I6" t="str">
        <f t="shared" si="3"/>
        <v>ara</v>
      </c>
      <c r="K6" t="str">
        <f t="shared" si="4"/>
        <v>ჩაიჭრა</v>
      </c>
    </row>
    <row r="7" spans="1:11" x14ac:dyDescent="0.25">
      <c r="A7" t="s">
        <v>176</v>
      </c>
      <c r="C7">
        <v>77</v>
      </c>
      <c r="D7">
        <v>84</v>
      </c>
      <c r="E7">
        <v>88</v>
      </c>
      <c r="F7" t="b">
        <f t="shared" si="0"/>
        <v>0</v>
      </c>
      <c r="G7" t="b">
        <f t="shared" si="1"/>
        <v>0</v>
      </c>
      <c r="H7" t="b">
        <f t="shared" si="2"/>
        <v>1</v>
      </c>
      <c r="I7" t="str">
        <f t="shared" si="3"/>
        <v>ara</v>
      </c>
      <c r="K7" t="str">
        <f t="shared" si="4"/>
        <v>ჩაიჭრა</v>
      </c>
    </row>
    <row r="8" spans="1:11" x14ac:dyDescent="0.25">
      <c r="A8" t="s">
        <v>175</v>
      </c>
      <c r="C8">
        <v>81</v>
      </c>
      <c r="D8">
        <v>86</v>
      </c>
      <c r="E8">
        <v>91</v>
      </c>
      <c r="F8" t="b">
        <f t="shared" si="0"/>
        <v>1</v>
      </c>
      <c r="G8" t="b">
        <f t="shared" si="1"/>
        <v>1</v>
      </c>
      <c r="H8" t="b">
        <f t="shared" si="2"/>
        <v>0</v>
      </c>
      <c r="I8" t="str">
        <f t="shared" si="3"/>
        <v>მიღებულია</v>
      </c>
      <c r="K8" t="str">
        <f t="shared" si="4"/>
        <v>მიღებულია</v>
      </c>
    </row>
    <row r="9" spans="1:11" x14ac:dyDescent="0.25">
      <c r="A9" t="s">
        <v>174</v>
      </c>
      <c r="C9">
        <v>88</v>
      </c>
      <c r="D9">
        <v>87</v>
      </c>
      <c r="E9">
        <v>95</v>
      </c>
      <c r="F9" t="b">
        <f t="shared" si="0"/>
        <v>1</v>
      </c>
      <c r="G9" t="b">
        <f t="shared" si="1"/>
        <v>1</v>
      </c>
      <c r="H9" t="b">
        <f t="shared" si="2"/>
        <v>0</v>
      </c>
      <c r="I9" t="str">
        <f t="shared" si="3"/>
        <v>მიღებულია</v>
      </c>
      <c r="K9" t="str">
        <f t="shared" si="4"/>
        <v>მიღებულია</v>
      </c>
    </row>
    <row r="10" spans="1:11" x14ac:dyDescent="0.25">
      <c r="A10" t="s">
        <v>173</v>
      </c>
      <c r="C10">
        <v>79</v>
      </c>
      <c r="D10">
        <v>75</v>
      </c>
      <c r="E10">
        <v>84</v>
      </c>
      <c r="F10" t="b">
        <f t="shared" si="0"/>
        <v>0</v>
      </c>
      <c r="G10" t="b">
        <f t="shared" si="1"/>
        <v>0</v>
      </c>
      <c r="H10" t="b">
        <f t="shared" si="2"/>
        <v>1</v>
      </c>
      <c r="I10" t="str">
        <f t="shared" si="3"/>
        <v>ara</v>
      </c>
      <c r="K10" t="str">
        <f t="shared" si="4"/>
        <v>ჩაიჭრა</v>
      </c>
    </row>
    <row r="11" spans="1:11" x14ac:dyDescent="0.25">
      <c r="A11" t="s">
        <v>172</v>
      </c>
      <c r="C11">
        <v>84</v>
      </c>
      <c r="D11">
        <v>71</v>
      </c>
      <c r="E11">
        <v>69</v>
      </c>
      <c r="F11" t="b">
        <f t="shared" si="0"/>
        <v>0</v>
      </c>
      <c r="G11" t="b">
        <f t="shared" si="1"/>
        <v>1</v>
      </c>
      <c r="H11" t="b">
        <f t="shared" si="2"/>
        <v>0</v>
      </c>
      <c r="I11" t="str">
        <f t="shared" si="3"/>
        <v>მოწვეულია გასაუბრებაზე</v>
      </c>
      <c r="K11" t="str">
        <f t="shared" si="4"/>
        <v>მოწვეულია გასაუბრებაზე</v>
      </c>
    </row>
    <row r="12" spans="1:11" x14ac:dyDescent="0.25">
      <c r="A12" t="s">
        <v>171</v>
      </c>
      <c r="C12">
        <v>84</v>
      </c>
      <c r="D12">
        <v>89</v>
      </c>
      <c r="E12">
        <v>92</v>
      </c>
      <c r="F12" t="b">
        <f t="shared" si="0"/>
        <v>1</v>
      </c>
      <c r="G12" t="b">
        <f t="shared" si="1"/>
        <v>1</v>
      </c>
      <c r="H12" t="b">
        <f t="shared" si="2"/>
        <v>0</v>
      </c>
      <c r="I12" t="str">
        <f t="shared" si="3"/>
        <v>მიღებულია</v>
      </c>
      <c r="K12" t="str">
        <f t="shared" si="4"/>
        <v>მიღებულია</v>
      </c>
    </row>
    <row r="13" spans="1:11" x14ac:dyDescent="0.25">
      <c r="A13" t="s">
        <v>170</v>
      </c>
      <c r="C13">
        <v>77</v>
      </c>
      <c r="D13">
        <v>88</v>
      </c>
      <c r="E13">
        <v>69</v>
      </c>
      <c r="F13" t="b">
        <f t="shared" si="0"/>
        <v>0</v>
      </c>
      <c r="G13" t="b">
        <f t="shared" si="1"/>
        <v>1</v>
      </c>
      <c r="H13" t="b">
        <f t="shared" si="2"/>
        <v>0</v>
      </c>
      <c r="I13" t="str">
        <f t="shared" si="3"/>
        <v>მოწვეულია გასაუბრებაზე</v>
      </c>
      <c r="K13" t="str">
        <f t="shared" si="4"/>
        <v>მოწვეულია გასაუბრებაზე</v>
      </c>
    </row>
    <row r="14" spans="1:11" x14ac:dyDescent="0.25">
      <c r="A14" t="s">
        <v>169</v>
      </c>
      <c r="C14">
        <v>80</v>
      </c>
      <c r="D14">
        <v>89</v>
      </c>
      <c r="E14">
        <v>83</v>
      </c>
      <c r="F14" t="b">
        <f t="shared" si="0"/>
        <v>0</v>
      </c>
      <c r="G14" t="b">
        <f t="shared" si="1"/>
        <v>1</v>
      </c>
      <c r="H14" t="b">
        <f t="shared" si="2"/>
        <v>0</v>
      </c>
      <c r="I14" t="str">
        <f t="shared" si="3"/>
        <v>მოწვეულია გასაუბრებაზე</v>
      </c>
      <c r="K14" t="str">
        <f t="shared" si="4"/>
        <v>მოწვეულია გასაუბრებაზე</v>
      </c>
    </row>
    <row r="17" spans="1:6" x14ac:dyDescent="0.25">
      <c r="A17" s="92" t="s">
        <v>168</v>
      </c>
      <c r="B17" s="92"/>
      <c r="C17" s="92"/>
      <c r="D17" s="92"/>
      <c r="E17" s="92"/>
      <c r="F17" s="92"/>
    </row>
    <row r="18" spans="1:6" ht="30.75" customHeight="1" x14ac:dyDescent="0.25">
      <c r="A18" s="92"/>
      <c r="B18" s="92"/>
      <c r="C18" s="92"/>
      <c r="D18" s="92"/>
      <c r="E18" s="92"/>
      <c r="F18" s="92"/>
    </row>
  </sheetData>
  <mergeCells count="2">
    <mergeCell ref="H3:H4"/>
    <mergeCell ref="A17:F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41"/>
  <sheetViews>
    <sheetView topLeftCell="B10" workbookViewId="0">
      <selection activeCell="Q21" sqref="Q21"/>
    </sheetView>
  </sheetViews>
  <sheetFormatPr defaultRowHeight="15" x14ac:dyDescent="0.25"/>
  <cols>
    <col min="1" max="1" width="16.28515625" customWidth="1"/>
    <col min="2" max="2" width="16.42578125" customWidth="1"/>
    <col min="3" max="3" width="16.140625" customWidth="1"/>
    <col min="4" max="4" width="13.85546875" customWidth="1"/>
    <col min="5" max="5" width="13.42578125" customWidth="1"/>
    <col min="6" max="6" width="12.7109375" bestFit="1" customWidth="1"/>
    <col min="7" max="7" width="11.5703125" bestFit="1" customWidth="1"/>
    <col min="8" max="8" width="10.28515625" customWidth="1"/>
  </cols>
  <sheetData>
    <row r="3" spans="1:8" x14ac:dyDescent="0.25">
      <c r="A3" s="49" t="s">
        <v>167</v>
      </c>
      <c r="B3" s="48" t="s">
        <v>166</v>
      </c>
      <c r="C3" s="47"/>
      <c r="D3" s="47"/>
      <c r="E3" s="47"/>
      <c r="F3" s="47"/>
      <c r="G3" s="47"/>
      <c r="H3" s="46"/>
    </row>
    <row r="4" spans="1:8" x14ac:dyDescent="0.25">
      <c r="A4" s="49" t="s">
        <v>165</v>
      </c>
      <c r="B4" s="48" t="s">
        <v>164</v>
      </c>
      <c r="C4" s="47"/>
      <c r="D4" s="47"/>
      <c r="E4" s="47"/>
      <c r="F4" s="47"/>
      <c r="G4" s="47"/>
      <c r="H4" s="46"/>
    </row>
    <row r="5" spans="1:8" x14ac:dyDescent="0.25">
      <c r="A5" s="49" t="s">
        <v>163</v>
      </c>
      <c r="B5" s="48" t="s">
        <v>162</v>
      </c>
      <c r="C5" s="47"/>
      <c r="D5" s="47"/>
      <c r="E5" s="47"/>
      <c r="F5" s="47"/>
      <c r="G5" s="47"/>
      <c r="H5" s="46"/>
    </row>
    <row r="8" spans="1:8" x14ac:dyDescent="0.25">
      <c r="A8" s="39" t="s">
        <v>161</v>
      </c>
      <c r="D8" t="s">
        <v>160</v>
      </c>
      <c r="E8">
        <v>2.2999999999999998</v>
      </c>
    </row>
    <row r="10" spans="1:8" x14ac:dyDescent="0.25">
      <c r="A10" s="10" t="s">
        <v>159</v>
      </c>
      <c r="B10" s="10" t="s">
        <v>158</v>
      </c>
      <c r="C10" s="10" t="s">
        <v>157</v>
      </c>
    </row>
    <row r="11" spans="1:8" x14ac:dyDescent="0.25">
      <c r="A11" s="10" t="s">
        <v>156</v>
      </c>
      <c r="B11" s="10">
        <v>1768</v>
      </c>
      <c r="C11" s="45">
        <f t="shared" ref="C11:C17" si="0">B11/$E$8</f>
        <v>768.69565217391312</v>
      </c>
    </row>
    <row r="12" spans="1:8" x14ac:dyDescent="0.25">
      <c r="A12" s="10" t="s">
        <v>155</v>
      </c>
      <c r="B12" s="10">
        <v>1243</v>
      </c>
      <c r="C12" s="45">
        <f t="shared" si="0"/>
        <v>540.43478260869574</v>
      </c>
    </row>
    <row r="13" spans="1:8" x14ac:dyDescent="0.25">
      <c r="A13" s="10" t="s">
        <v>154</v>
      </c>
      <c r="B13" s="10">
        <v>1046</v>
      </c>
      <c r="C13" s="45">
        <f t="shared" si="0"/>
        <v>454.78260869565219</v>
      </c>
    </row>
    <row r="14" spans="1:8" x14ac:dyDescent="0.25">
      <c r="A14" s="10" t="s">
        <v>153</v>
      </c>
      <c r="B14" s="10">
        <v>1917</v>
      </c>
      <c r="C14" s="45">
        <f t="shared" si="0"/>
        <v>833.47826086956525</v>
      </c>
    </row>
    <row r="15" spans="1:8" x14ac:dyDescent="0.25">
      <c r="A15" s="10" t="s">
        <v>152</v>
      </c>
      <c r="B15" s="10">
        <v>1007</v>
      </c>
      <c r="C15" s="45">
        <f t="shared" si="0"/>
        <v>437.82608695652175</v>
      </c>
    </row>
    <row r="16" spans="1:8" x14ac:dyDescent="0.25">
      <c r="A16" s="10" t="s">
        <v>151</v>
      </c>
      <c r="B16" s="10">
        <v>1411</v>
      </c>
      <c r="C16" s="45">
        <f t="shared" si="0"/>
        <v>613.47826086956525</v>
      </c>
    </row>
    <row r="17" spans="1:7" x14ac:dyDescent="0.25">
      <c r="A17" s="10" t="s">
        <v>150</v>
      </c>
      <c r="B17" s="10">
        <v>1179</v>
      </c>
      <c r="C17" s="45">
        <f t="shared" si="0"/>
        <v>512.60869565217399</v>
      </c>
    </row>
    <row r="21" spans="1:7" x14ac:dyDescent="0.25">
      <c r="A21" s="39" t="s">
        <v>149</v>
      </c>
      <c r="F21" s="44" t="s">
        <v>148</v>
      </c>
      <c r="G21" s="43">
        <v>0.39370080000000002</v>
      </c>
    </row>
    <row r="24" spans="1:7" x14ac:dyDescent="0.25">
      <c r="A24" s="42" t="s">
        <v>147</v>
      </c>
      <c r="B24" s="41" t="s">
        <v>146</v>
      </c>
      <c r="D24" s="42" t="s">
        <v>145</v>
      </c>
      <c r="E24" s="41" t="s">
        <v>144</v>
      </c>
    </row>
    <row r="25" spans="1:7" x14ac:dyDescent="0.25">
      <c r="A25" s="40">
        <v>6</v>
      </c>
      <c r="B25" s="1">
        <v>19</v>
      </c>
      <c r="D25" s="40">
        <f t="shared" ref="D25:E29" si="1">A25*$G$21</f>
        <v>2.3622048000000002</v>
      </c>
      <c r="E25" s="40">
        <f t="shared" si="1"/>
        <v>7.4803152000000006</v>
      </c>
    </row>
    <row r="26" spans="1:7" x14ac:dyDescent="0.25">
      <c r="A26" s="40">
        <v>4</v>
      </c>
      <c r="B26" s="1">
        <v>16</v>
      </c>
      <c r="D26" s="40">
        <f t="shared" si="1"/>
        <v>1.5748032000000001</v>
      </c>
      <c r="E26" s="40">
        <f t="shared" si="1"/>
        <v>6.2992128000000003</v>
      </c>
    </row>
    <row r="27" spans="1:7" x14ac:dyDescent="0.25">
      <c r="A27" s="40">
        <v>4</v>
      </c>
      <c r="B27" s="1">
        <v>17</v>
      </c>
      <c r="D27" s="40">
        <f t="shared" si="1"/>
        <v>1.5748032000000001</v>
      </c>
      <c r="E27" s="40">
        <f t="shared" si="1"/>
        <v>6.6929136000000007</v>
      </c>
    </row>
    <row r="28" spans="1:7" x14ac:dyDescent="0.25">
      <c r="A28" s="40">
        <v>7</v>
      </c>
      <c r="B28" s="1">
        <v>19</v>
      </c>
      <c r="D28" s="40">
        <f t="shared" si="1"/>
        <v>2.7559056000000002</v>
      </c>
      <c r="E28" s="40">
        <f t="shared" si="1"/>
        <v>7.4803152000000006</v>
      </c>
    </row>
    <row r="29" spans="1:7" x14ac:dyDescent="0.25">
      <c r="A29" s="40">
        <v>6</v>
      </c>
      <c r="B29" s="1">
        <v>18</v>
      </c>
      <c r="D29" s="40">
        <f t="shared" si="1"/>
        <v>2.3622048000000002</v>
      </c>
      <c r="E29" s="40">
        <f t="shared" si="1"/>
        <v>7.0866144000000002</v>
      </c>
    </row>
    <row r="33" spans="1:8" x14ac:dyDescent="0.25">
      <c r="A33" s="39" t="s">
        <v>143</v>
      </c>
    </row>
    <row r="35" spans="1:8" x14ac:dyDescent="0.25">
      <c r="A35" s="1" t="s">
        <v>142</v>
      </c>
      <c r="B35" s="1" t="s">
        <v>135</v>
      </c>
      <c r="F35" s="4" t="s">
        <v>70</v>
      </c>
      <c r="G35" s="4" t="s">
        <v>69</v>
      </c>
      <c r="H35" s="4" t="s">
        <v>68</v>
      </c>
    </row>
    <row r="36" spans="1:8" x14ac:dyDescent="0.25">
      <c r="A36" s="4" t="s">
        <v>141</v>
      </c>
      <c r="B36" s="4">
        <v>100</v>
      </c>
      <c r="F36" s="10">
        <f t="shared" ref="F36:H37" si="2">$B36*B$41</f>
        <v>20</v>
      </c>
      <c r="G36" s="10">
        <f t="shared" si="2"/>
        <v>25</v>
      </c>
      <c r="H36" s="10">
        <f t="shared" si="2"/>
        <v>30</v>
      </c>
    </row>
    <row r="37" spans="1:8" x14ac:dyDescent="0.25">
      <c r="A37" s="4" t="s">
        <v>140</v>
      </c>
      <c r="B37" s="4">
        <v>75</v>
      </c>
      <c r="F37" s="10">
        <f t="shared" si="2"/>
        <v>15</v>
      </c>
      <c r="G37" s="10">
        <f t="shared" si="2"/>
        <v>18.75</v>
      </c>
      <c r="H37" s="10">
        <f t="shared" si="2"/>
        <v>22.5</v>
      </c>
    </row>
    <row r="38" spans="1:8" x14ac:dyDescent="0.25">
      <c r="F38" s="10"/>
    </row>
    <row r="40" spans="1:8" x14ac:dyDescent="0.25">
      <c r="A40" s="10" t="s">
        <v>139</v>
      </c>
      <c r="B40" s="4" t="s">
        <v>70</v>
      </c>
      <c r="C40" s="4" t="s">
        <v>69</v>
      </c>
      <c r="D40" s="4" t="s">
        <v>68</v>
      </c>
    </row>
    <row r="41" spans="1:8" x14ac:dyDescent="0.25">
      <c r="A41" s="10" t="s">
        <v>138</v>
      </c>
      <c r="B41" s="38">
        <v>0.2</v>
      </c>
      <c r="C41" s="38">
        <v>0.25</v>
      </c>
      <c r="D41" s="38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5"/>
  <sheetViews>
    <sheetView tabSelected="1" zoomScale="160" zoomScaleNormal="160" workbookViewId="0">
      <selection activeCell="F14" sqref="F14:M21"/>
    </sheetView>
  </sheetViews>
  <sheetFormatPr defaultRowHeight="15" x14ac:dyDescent="0.25"/>
  <cols>
    <col min="1" max="1" width="16.140625" bestFit="1" customWidth="1"/>
    <col min="2" max="2" width="14.5703125" bestFit="1" customWidth="1"/>
    <col min="3" max="3" width="14.7109375" bestFit="1" customWidth="1"/>
    <col min="4" max="4" width="13" style="66" customWidth="1"/>
    <col min="5" max="5" width="16.140625" customWidth="1"/>
    <col min="6" max="6" width="12.7109375" bestFit="1" customWidth="1"/>
    <col min="7" max="7" width="9.7109375" bestFit="1" customWidth="1"/>
    <col min="8" max="8" width="13.140625" customWidth="1"/>
    <col min="9" max="9" width="11" bestFit="1" customWidth="1"/>
    <col min="11" max="12" width="11" bestFit="1" customWidth="1"/>
    <col min="13" max="13" width="12.5703125" customWidth="1"/>
    <col min="19" max="19" width="12.28515625" customWidth="1"/>
  </cols>
  <sheetData>
    <row r="1" spans="1:15" x14ac:dyDescent="0.25">
      <c r="A1" s="82" t="s">
        <v>188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5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5" ht="9" customHeight="1" x14ac:dyDescent="0.25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1:15" x14ac:dyDescent="0.25">
      <c r="A5" s="10" t="s">
        <v>189</v>
      </c>
      <c r="B5" s="10" t="s">
        <v>190</v>
      </c>
      <c r="C5" s="10" t="s">
        <v>191</v>
      </c>
      <c r="D5" s="113" t="s">
        <v>192</v>
      </c>
      <c r="E5" s="10" t="s">
        <v>193</v>
      </c>
    </row>
    <row r="6" spans="1:15" ht="15.75" x14ac:dyDescent="0.25">
      <c r="A6" s="10" t="s">
        <v>156</v>
      </c>
      <c r="B6" s="10" t="s">
        <v>194</v>
      </c>
      <c r="C6" s="10">
        <v>57590</v>
      </c>
      <c r="D6" s="113">
        <f>IF(AND(OR(A6="გიორგი",A6="ჯემალი"),C6&gt;25000),C6*20%,IF(AND(OR(A6="გელა",A6="კოტე"),C6&gt;40000),C6*10%,IF(AND(A6="კახა",C6&gt;80000),C6*3%,0)))</f>
        <v>11518</v>
      </c>
      <c r="E6" s="10" t="str">
        <f>IF(D6=IF(AND(OR(A6=$H$6,A6=$H$7),C6&gt;$I$6),C6*$J$6,IF(AND(OR(A6=$H$9,A6=$H$10),C6&gt;$I$9),C6*$J$9,IF(AND(A6=$H$12,C6&gt;$I$12),C6*$J$12,0))),"სწორია",IF(G5=0,"შეავსეთ მონაცემი","მცდარია"))</f>
        <v>სწორია</v>
      </c>
      <c r="F6" s="56"/>
      <c r="H6" s="57" t="s">
        <v>156</v>
      </c>
      <c r="I6" s="58">
        <v>25000</v>
      </c>
      <c r="J6" s="59">
        <v>0.2</v>
      </c>
    </row>
    <row r="7" spans="1:15" ht="15.75" x14ac:dyDescent="0.25">
      <c r="A7" s="10" t="s">
        <v>195</v>
      </c>
      <c r="B7" s="10" t="s">
        <v>196</v>
      </c>
      <c r="C7" s="10">
        <v>39910</v>
      </c>
      <c r="D7" s="113">
        <f t="shared" ref="D7:D35" si="0">IF(AND(OR(A7="გიორგი",A7="ჯემალი"),C7&gt;25000),C7*20%,IF(AND(OR(A7="გელა",A7="კოტე"),C7&gt;40000),C7*10%,IF(AND(A7="კახა",C7&gt;80000),C7*3%,0)))</f>
        <v>7982</v>
      </c>
      <c r="E7" s="10" t="str">
        <f t="shared" ref="E7:E35" si="1">IF(D7=IF(AND(OR(A7=$H$6,A7=$H$7),C7&gt;$I$6),C7*$J$6,IF(AND(OR(A7=$H$9,A7=$H$10),C7&gt;$I$9),C7*$J$9,IF(AND(A7=$H$12,C7&gt;$I$12),C7*$J$12,0))),"სწორია",IF(G6=0,"შეავსეთ მონაცემი","მცდარია"))</f>
        <v>სწორია</v>
      </c>
      <c r="H7" s="57" t="s">
        <v>195</v>
      </c>
      <c r="I7" s="58">
        <v>25000</v>
      </c>
      <c r="J7" s="59">
        <v>0.2</v>
      </c>
    </row>
    <row r="8" spans="1:15" ht="15.75" x14ac:dyDescent="0.25">
      <c r="A8" s="10" t="s">
        <v>151</v>
      </c>
      <c r="B8" s="10" t="s">
        <v>197</v>
      </c>
      <c r="C8" s="10">
        <v>18949</v>
      </c>
      <c r="D8" s="113">
        <f t="shared" si="0"/>
        <v>0</v>
      </c>
      <c r="E8" s="10" t="str">
        <f>IF(D8=IF(AND(OR(A8=$H$6,A8=$H$7),C8&gt;$I$6),C8*$J$6,IF(AND(OR(A8=$H$9,A8=$H$10),C8&gt;$I$9),C8*$J$9,IF(AND(A8=$H$12,C8&gt;$I$12),C8*$J$12,0))),"სწორია",IF(G7=0,"შეავსეთ მონაცემი","მცდარია"))</f>
        <v>სწორია</v>
      </c>
      <c r="H8" s="58"/>
      <c r="I8" s="58"/>
      <c r="J8" s="58"/>
    </row>
    <row r="9" spans="1:15" ht="15.75" x14ac:dyDescent="0.25">
      <c r="A9" s="10" t="s">
        <v>198</v>
      </c>
      <c r="B9" s="10" t="s">
        <v>199</v>
      </c>
      <c r="C9" s="10">
        <v>86745</v>
      </c>
      <c r="D9" s="113">
        <f t="shared" si="0"/>
        <v>2602.35</v>
      </c>
      <c r="E9" s="10" t="str">
        <f t="shared" si="1"/>
        <v>სწორია</v>
      </c>
      <c r="H9" s="58" t="s">
        <v>200</v>
      </c>
      <c r="I9" s="58">
        <v>40000</v>
      </c>
      <c r="J9" s="59">
        <v>0.1</v>
      </c>
    </row>
    <row r="10" spans="1:15" ht="15.75" x14ac:dyDescent="0.25">
      <c r="A10" s="10" t="s">
        <v>200</v>
      </c>
      <c r="B10" s="10" t="s">
        <v>194</v>
      </c>
      <c r="C10" s="10">
        <v>71286</v>
      </c>
      <c r="D10" s="113">
        <f t="shared" si="0"/>
        <v>7128.6</v>
      </c>
      <c r="E10" s="10" t="str">
        <f t="shared" si="1"/>
        <v>სწორია</v>
      </c>
      <c r="H10" s="58" t="s">
        <v>151</v>
      </c>
      <c r="I10" s="58">
        <v>40000</v>
      </c>
      <c r="J10" s="59">
        <v>0.1</v>
      </c>
    </row>
    <row r="11" spans="1:15" ht="15.75" x14ac:dyDescent="0.25">
      <c r="A11" s="10" t="s">
        <v>156</v>
      </c>
      <c r="B11" s="10" t="s">
        <v>196</v>
      </c>
      <c r="C11" s="10">
        <v>28253</v>
      </c>
      <c r="D11" s="113">
        <f t="shared" si="0"/>
        <v>5650.6</v>
      </c>
      <c r="E11" s="10" t="str">
        <f t="shared" si="1"/>
        <v>სწორია</v>
      </c>
      <c r="H11" s="58"/>
      <c r="I11" s="58"/>
      <c r="J11" s="58"/>
    </row>
    <row r="12" spans="1:15" ht="15.75" x14ac:dyDescent="0.25">
      <c r="A12" s="10" t="s">
        <v>151</v>
      </c>
      <c r="B12" s="10" t="s">
        <v>197</v>
      </c>
      <c r="C12" s="10">
        <v>42868</v>
      </c>
      <c r="D12" s="113">
        <f t="shared" si="0"/>
        <v>4286.8</v>
      </c>
      <c r="E12" s="10" t="str">
        <f t="shared" si="1"/>
        <v>სწორია</v>
      </c>
      <c r="H12" s="58" t="s">
        <v>198</v>
      </c>
      <c r="I12" s="58">
        <v>80000</v>
      </c>
      <c r="J12" s="59">
        <v>0.03</v>
      </c>
    </row>
    <row r="13" spans="1:15" x14ac:dyDescent="0.25">
      <c r="A13" s="10" t="s">
        <v>200</v>
      </c>
      <c r="B13" s="10" t="s">
        <v>199</v>
      </c>
      <c r="C13" s="10">
        <v>71813</v>
      </c>
      <c r="D13" s="113">
        <f t="shared" si="0"/>
        <v>7181.3</v>
      </c>
      <c r="E13" s="10" t="str">
        <f t="shared" si="1"/>
        <v>სწორია</v>
      </c>
    </row>
    <row r="14" spans="1:15" x14ac:dyDescent="0.25">
      <c r="A14" s="10" t="s">
        <v>195</v>
      </c>
      <c r="B14" s="10" t="s">
        <v>194</v>
      </c>
      <c r="C14" s="10">
        <v>17213</v>
      </c>
      <c r="D14" s="113">
        <f t="shared" si="0"/>
        <v>0</v>
      </c>
      <c r="E14" s="10" t="str">
        <f t="shared" si="1"/>
        <v>სწორია</v>
      </c>
      <c r="F14" s="114" t="str">
        <f ca="1">_xlfn.FORMULATEXT(D6)</f>
        <v>=IF(AND(OR(A6="გიორგი",A6="ჯემალი"),C6&gt;25000),C6*20%,IF(AND(OR(A6="გელა",A6="კოტე"),C6&gt;40000),C6*10%,IF(AND(A6="კახა",C6&gt;80000),C6*3%,0)))</v>
      </c>
      <c r="G14" s="115"/>
      <c r="H14" s="115"/>
      <c r="I14" s="115"/>
      <c r="J14" s="115"/>
      <c r="K14" s="115"/>
      <c r="L14" s="115"/>
      <c r="M14" s="115"/>
    </row>
    <row r="15" spans="1:15" x14ac:dyDescent="0.25">
      <c r="A15" s="10" t="s">
        <v>200</v>
      </c>
      <c r="B15" s="10" t="s">
        <v>196</v>
      </c>
      <c r="C15" s="10">
        <v>87096</v>
      </c>
      <c r="D15" s="113">
        <f t="shared" si="0"/>
        <v>8709.6</v>
      </c>
      <c r="E15" s="10" t="str">
        <f t="shared" si="1"/>
        <v>სწორია</v>
      </c>
      <c r="F15" s="114"/>
      <c r="G15" s="115"/>
      <c r="H15" s="115"/>
      <c r="I15" s="115"/>
      <c r="J15" s="115"/>
      <c r="K15" s="115"/>
      <c r="L15" s="115"/>
      <c r="M15" s="115"/>
    </row>
    <row r="16" spans="1:15" x14ac:dyDescent="0.25">
      <c r="A16" s="10" t="s">
        <v>156</v>
      </c>
      <c r="B16" s="10" t="s">
        <v>197</v>
      </c>
      <c r="C16" s="10">
        <v>19684</v>
      </c>
      <c r="D16" s="113">
        <f t="shared" si="0"/>
        <v>0</v>
      </c>
      <c r="E16" s="10" t="str">
        <f t="shared" si="1"/>
        <v>სწორია</v>
      </c>
      <c r="F16" s="114"/>
      <c r="G16" s="115"/>
      <c r="H16" s="115"/>
      <c r="I16" s="115"/>
      <c r="J16" s="115"/>
      <c r="K16" s="115"/>
      <c r="L16" s="115"/>
      <c r="M16" s="115"/>
    </row>
    <row r="17" spans="1:13" x14ac:dyDescent="0.25">
      <c r="A17" s="10" t="s">
        <v>195</v>
      </c>
      <c r="B17" s="10" t="s">
        <v>199</v>
      </c>
      <c r="C17" s="10">
        <v>24576</v>
      </c>
      <c r="D17" s="113">
        <f t="shared" si="0"/>
        <v>0</v>
      </c>
      <c r="E17" s="10" t="str">
        <f t="shared" si="1"/>
        <v>სწორია</v>
      </c>
      <c r="F17" s="114"/>
      <c r="G17" s="115"/>
      <c r="H17" s="115"/>
      <c r="I17" s="115"/>
      <c r="J17" s="115"/>
      <c r="K17" s="115"/>
      <c r="L17" s="115"/>
      <c r="M17" s="115"/>
    </row>
    <row r="18" spans="1:13" x14ac:dyDescent="0.25">
      <c r="A18" s="10" t="s">
        <v>151</v>
      </c>
      <c r="B18" s="10" t="s">
        <v>194</v>
      </c>
      <c r="C18" s="10">
        <v>90592</v>
      </c>
      <c r="D18" s="113">
        <f t="shared" si="0"/>
        <v>9059.2000000000007</v>
      </c>
      <c r="E18" s="10" t="str">
        <f t="shared" si="1"/>
        <v>სწორია</v>
      </c>
      <c r="F18" s="114"/>
      <c r="G18" s="115"/>
      <c r="H18" s="115"/>
      <c r="I18" s="115"/>
      <c r="J18" s="115"/>
      <c r="K18" s="115"/>
      <c r="L18" s="115"/>
      <c r="M18" s="115"/>
    </row>
    <row r="19" spans="1:13" x14ac:dyDescent="0.25">
      <c r="A19" s="10" t="s">
        <v>198</v>
      </c>
      <c r="B19" s="10" t="s">
        <v>196</v>
      </c>
      <c r="C19" s="10">
        <v>85525</v>
      </c>
      <c r="D19" s="113">
        <f t="shared" si="0"/>
        <v>2565.75</v>
      </c>
      <c r="E19" s="10" t="str">
        <f t="shared" si="1"/>
        <v>სწორია</v>
      </c>
      <c r="F19" s="114"/>
      <c r="G19" s="115"/>
      <c r="H19" s="115"/>
      <c r="I19" s="115"/>
      <c r="J19" s="115"/>
      <c r="K19" s="115"/>
      <c r="L19" s="115"/>
      <c r="M19" s="115"/>
    </row>
    <row r="20" spans="1:13" x14ac:dyDescent="0.25">
      <c r="A20" s="10" t="s">
        <v>200</v>
      </c>
      <c r="B20" s="10" t="s">
        <v>197</v>
      </c>
      <c r="C20" s="10">
        <v>82926</v>
      </c>
      <c r="D20" s="113">
        <f t="shared" si="0"/>
        <v>8292.6</v>
      </c>
      <c r="E20" s="10" t="str">
        <f t="shared" si="1"/>
        <v>სწორია</v>
      </c>
      <c r="F20" s="114"/>
      <c r="G20" s="115"/>
      <c r="H20" s="115"/>
      <c r="I20" s="115"/>
      <c r="J20" s="115"/>
      <c r="K20" s="115"/>
      <c r="L20" s="115"/>
      <c r="M20" s="115"/>
    </row>
    <row r="21" spans="1:13" x14ac:dyDescent="0.25">
      <c r="A21" s="10" t="s">
        <v>156</v>
      </c>
      <c r="B21" s="10" t="s">
        <v>199</v>
      </c>
      <c r="C21" s="10">
        <v>60006</v>
      </c>
      <c r="D21" s="113">
        <f t="shared" si="0"/>
        <v>12001.2</v>
      </c>
      <c r="E21" s="10" t="str">
        <f t="shared" si="1"/>
        <v>სწორია</v>
      </c>
      <c r="F21" s="114"/>
      <c r="G21" s="115"/>
      <c r="H21" s="115"/>
      <c r="I21" s="115"/>
      <c r="J21" s="115"/>
      <c r="K21" s="115"/>
      <c r="L21" s="115"/>
      <c r="M21" s="115"/>
    </row>
    <row r="22" spans="1:13" x14ac:dyDescent="0.25">
      <c r="A22" s="10" t="s">
        <v>151</v>
      </c>
      <c r="B22" s="10" t="s">
        <v>194</v>
      </c>
      <c r="C22" s="10">
        <v>69254</v>
      </c>
      <c r="D22" s="113">
        <f t="shared" si="0"/>
        <v>6925.4000000000005</v>
      </c>
      <c r="E22" s="10" t="str">
        <f t="shared" si="1"/>
        <v>სწორია</v>
      </c>
    </row>
    <row r="23" spans="1:13" x14ac:dyDescent="0.25">
      <c r="A23" s="10" t="s">
        <v>200</v>
      </c>
      <c r="B23" s="10" t="s">
        <v>196</v>
      </c>
      <c r="C23" s="10">
        <v>56931</v>
      </c>
      <c r="D23" s="113">
        <f t="shared" si="0"/>
        <v>5693.1</v>
      </c>
      <c r="E23" s="10" t="str">
        <f t="shared" si="1"/>
        <v>სწორია</v>
      </c>
    </row>
    <row r="24" spans="1:13" x14ac:dyDescent="0.25">
      <c r="A24" s="10" t="s">
        <v>195</v>
      </c>
      <c r="B24" s="10" t="s">
        <v>197</v>
      </c>
      <c r="C24" s="10">
        <v>34125</v>
      </c>
      <c r="D24" s="113">
        <f t="shared" si="0"/>
        <v>6825</v>
      </c>
      <c r="E24" s="10" t="str">
        <f t="shared" si="1"/>
        <v>სწორია</v>
      </c>
    </row>
    <row r="25" spans="1:13" x14ac:dyDescent="0.25">
      <c r="A25" s="10" t="s">
        <v>200</v>
      </c>
      <c r="B25" s="10" t="s">
        <v>199</v>
      </c>
      <c r="C25" s="10">
        <v>75000</v>
      </c>
      <c r="D25" s="113">
        <f t="shared" si="0"/>
        <v>7500</v>
      </c>
      <c r="E25" s="10" t="str">
        <f t="shared" si="1"/>
        <v>სწორია</v>
      </c>
    </row>
    <row r="26" spans="1:13" x14ac:dyDescent="0.25">
      <c r="A26" s="10" t="s">
        <v>156</v>
      </c>
      <c r="B26" s="10" t="s">
        <v>194</v>
      </c>
      <c r="C26" s="10">
        <v>12790</v>
      </c>
      <c r="D26" s="113">
        <f t="shared" si="0"/>
        <v>0</v>
      </c>
      <c r="E26" s="10" t="str">
        <f t="shared" si="1"/>
        <v>სწორია</v>
      </c>
    </row>
    <row r="27" spans="1:13" x14ac:dyDescent="0.25">
      <c r="A27" s="10" t="s">
        <v>195</v>
      </c>
      <c r="B27" s="10" t="s">
        <v>196</v>
      </c>
      <c r="C27" s="10">
        <v>70176</v>
      </c>
      <c r="D27" s="113">
        <f t="shared" si="0"/>
        <v>14035.2</v>
      </c>
      <c r="E27" s="10" t="str">
        <f t="shared" si="1"/>
        <v>სწორია</v>
      </c>
    </row>
    <row r="28" spans="1:13" x14ac:dyDescent="0.25">
      <c r="A28" s="10" t="s">
        <v>151</v>
      </c>
      <c r="B28" s="10" t="s">
        <v>197</v>
      </c>
      <c r="C28" s="10">
        <v>31527</v>
      </c>
      <c r="D28" s="113">
        <f t="shared" si="0"/>
        <v>0</v>
      </c>
      <c r="E28" s="10" t="str">
        <f t="shared" si="1"/>
        <v>სწორია</v>
      </c>
    </row>
    <row r="29" spans="1:13" x14ac:dyDescent="0.25">
      <c r="A29" s="10" t="s">
        <v>198</v>
      </c>
      <c r="B29" s="10" t="s">
        <v>199</v>
      </c>
      <c r="C29" s="10">
        <v>176440</v>
      </c>
      <c r="D29" s="113">
        <f t="shared" si="0"/>
        <v>5293.2</v>
      </c>
      <c r="E29" s="10" t="str">
        <f t="shared" si="1"/>
        <v>სწორია</v>
      </c>
    </row>
    <row r="30" spans="1:13" x14ac:dyDescent="0.25">
      <c r="A30" s="10" t="s">
        <v>200</v>
      </c>
      <c r="B30" s="10" t="s">
        <v>194</v>
      </c>
      <c r="C30" s="10">
        <v>47817</v>
      </c>
      <c r="D30" s="113">
        <f t="shared" si="0"/>
        <v>4781.7</v>
      </c>
      <c r="E30" s="10" t="str">
        <f t="shared" si="1"/>
        <v>სწორია</v>
      </c>
    </row>
    <row r="31" spans="1:13" x14ac:dyDescent="0.25">
      <c r="A31" s="10" t="s">
        <v>156</v>
      </c>
      <c r="B31" s="10" t="s">
        <v>196</v>
      </c>
      <c r="C31" s="10">
        <v>42320</v>
      </c>
      <c r="D31" s="113">
        <f t="shared" si="0"/>
        <v>8464</v>
      </c>
      <c r="E31" s="10" t="str">
        <f t="shared" si="1"/>
        <v>სწორია</v>
      </c>
    </row>
    <row r="32" spans="1:13" x14ac:dyDescent="0.25">
      <c r="A32" s="10" t="s">
        <v>151</v>
      </c>
      <c r="B32" s="10" t="s">
        <v>197</v>
      </c>
      <c r="C32" s="10">
        <v>39675</v>
      </c>
      <c r="D32" s="113">
        <f t="shared" si="0"/>
        <v>0</v>
      </c>
      <c r="E32" s="10" t="str">
        <f t="shared" si="1"/>
        <v>სწორია</v>
      </c>
    </row>
    <row r="33" spans="1:5" x14ac:dyDescent="0.25">
      <c r="A33" s="10" t="s">
        <v>200</v>
      </c>
      <c r="B33" s="10" t="s">
        <v>199</v>
      </c>
      <c r="C33" s="10">
        <v>92522</v>
      </c>
      <c r="D33" s="113">
        <f t="shared" si="0"/>
        <v>9252.2000000000007</v>
      </c>
      <c r="E33" s="10" t="str">
        <f t="shared" si="1"/>
        <v>სწორია</v>
      </c>
    </row>
    <row r="34" spans="1:5" x14ac:dyDescent="0.25">
      <c r="A34" s="10" t="s">
        <v>195</v>
      </c>
      <c r="B34" s="10" t="s">
        <v>194</v>
      </c>
      <c r="C34" s="10">
        <v>29198</v>
      </c>
      <c r="D34" s="113">
        <f t="shared" si="0"/>
        <v>5839.6</v>
      </c>
      <c r="E34" s="10" t="str">
        <f t="shared" si="1"/>
        <v>სწორია</v>
      </c>
    </row>
    <row r="35" spans="1:5" x14ac:dyDescent="0.25">
      <c r="A35" s="10" t="s">
        <v>200</v>
      </c>
      <c r="B35" s="10" t="s">
        <v>196</v>
      </c>
      <c r="C35" s="10">
        <v>34207</v>
      </c>
      <c r="D35" s="113">
        <f t="shared" si="0"/>
        <v>0</v>
      </c>
      <c r="E35" s="10" t="str">
        <f t="shared" si="1"/>
        <v>სწორია</v>
      </c>
    </row>
  </sheetData>
  <mergeCells count="2">
    <mergeCell ref="A1:O4"/>
    <mergeCell ref="F14:M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zoomScale="91" zoomScaleNormal="91" workbookViewId="0">
      <selection activeCell="L22" sqref="L22"/>
    </sheetView>
  </sheetViews>
  <sheetFormatPr defaultRowHeight="15" x14ac:dyDescent="0.25"/>
  <cols>
    <col min="1" max="1" width="24.42578125" customWidth="1"/>
    <col min="2" max="2" width="27.140625" customWidth="1"/>
    <col min="3" max="3" width="16.7109375" customWidth="1"/>
    <col min="4" max="4" width="13.85546875" customWidth="1"/>
    <col min="5" max="5" width="16.7109375" customWidth="1"/>
    <col min="6" max="6" width="19.5703125" customWidth="1"/>
    <col min="7" max="7" width="18.140625" customWidth="1"/>
    <col min="8" max="8" width="19.7109375" style="60" customWidth="1"/>
  </cols>
  <sheetData>
    <row r="1" spans="1:8" ht="45" x14ac:dyDescent="0.25">
      <c r="A1" s="66" t="s">
        <v>241</v>
      </c>
      <c r="B1" s="66" t="s">
        <v>240</v>
      </c>
      <c r="C1" s="66" t="s">
        <v>239</v>
      </c>
      <c r="D1" s="66" t="s">
        <v>238</v>
      </c>
      <c r="E1" s="66" t="s">
        <v>237</v>
      </c>
      <c r="F1" s="66" t="s">
        <v>236</v>
      </c>
      <c r="G1" s="66" t="s">
        <v>235</v>
      </c>
      <c r="H1" s="65" t="s">
        <v>234</v>
      </c>
    </row>
    <row r="2" spans="1:8" x14ac:dyDescent="0.25">
      <c r="A2" t="s">
        <v>233</v>
      </c>
      <c r="B2" t="s">
        <v>204</v>
      </c>
      <c r="C2" t="s">
        <v>232</v>
      </c>
      <c r="D2" t="s">
        <v>201</v>
      </c>
      <c r="E2">
        <v>20</v>
      </c>
      <c r="F2">
        <v>70</v>
      </c>
      <c r="G2">
        <f>Table2[[#This Row],[ ღირებულება]]-Table2[[#This Row],[მიღებული ავანსი]]</f>
        <v>50</v>
      </c>
      <c r="H2" s="60">
        <f>IF(Table2[[#This Row],[Column1]]="დასაბეგრი",Table2[[#This Row],[მიღებული ავანსი]]/1.18*0.18,0)</f>
        <v>3.0508474576271185</v>
      </c>
    </row>
    <row r="3" spans="1:8" x14ac:dyDescent="0.25">
      <c r="A3" t="s">
        <v>231</v>
      </c>
      <c r="B3" t="s">
        <v>216</v>
      </c>
      <c r="C3" t="s">
        <v>230</v>
      </c>
      <c r="D3" t="s">
        <v>202</v>
      </c>
      <c r="E3">
        <v>200</v>
      </c>
      <c r="F3">
        <v>240</v>
      </c>
      <c r="G3">
        <f>Table2[[#This Row],[ ღირებულება]]-Table2[[#This Row],[მიღებული ავანსი]]</f>
        <v>40</v>
      </c>
      <c r="H3" s="60">
        <f>IF(Table2[[#This Row],[Column1]]="დასაბეგრი",Table2[[#This Row],[მიღებული ავანსი]]/1.18*0.18,0)</f>
        <v>0</v>
      </c>
    </row>
    <row r="4" spans="1:8" x14ac:dyDescent="0.25">
      <c r="A4" t="s">
        <v>229</v>
      </c>
      <c r="B4" t="s">
        <v>228</v>
      </c>
      <c r="C4" t="s">
        <v>227</v>
      </c>
      <c r="D4" t="s">
        <v>202</v>
      </c>
      <c r="E4">
        <v>210</v>
      </c>
      <c r="F4">
        <f>210</f>
        <v>210</v>
      </c>
      <c r="G4">
        <f>Table2[[#This Row],[ ღირებულება]]-Table2[[#This Row],[მიღებული ავანსი]]</f>
        <v>0</v>
      </c>
      <c r="H4" s="60">
        <f>IF(Table2[[#This Row],[Column1]]="დასაბეგრი",Table2[[#This Row],[მიღებული ავანსი]]/1.18*0.18,0)</f>
        <v>0</v>
      </c>
    </row>
    <row r="5" spans="1:8" x14ac:dyDescent="0.25">
      <c r="A5" t="s">
        <v>225</v>
      </c>
      <c r="B5" t="s">
        <v>211</v>
      </c>
      <c r="C5" t="s">
        <v>226</v>
      </c>
      <c r="E5">
        <v>152.55000000000001</v>
      </c>
      <c r="F5">
        <v>152.55000000000001</v>
      </c>
      <c r="G5">
        <f>Table2[[#This Row],[ ღირებულება]]-Table2[[#This Row],[მიღებული ავანსი]]</f>
        <v>0</v>
      </c>
      <c r="H5" s="60">
        <f>IF(Table2[[#This Row],[Column1]]="დასაბეგრი",Table2[[#This Row],[მიღებული ავანსი]]/1.18*0.18,0)</f>
        <v>0</v>
      </c>
    </row>
    <row r="6" spans="1:8" x14ac:dyDescent="0.25">
      <c r="A6" t="s">
        <v>225</v>
      </c>
      <c r="B6" t="s">
        <v>211</v>
      </c>
      <c r="C6" t="s">
        <v>224</v>
      </c>
      <c r="E6">
        <v>50</v>
      </c>
      <c r="F6">
        <v>150</v>
      </c>
      <c r="G6">
        <f>Table2[[#This Row],[ ღირებულება]]-Table2[[#This Row],[მიღებული ავანსი]]</f>
        <v>100</v>
      </c>
      <c r="H6" s="60">
        <f>IF(Table2[[#This Row],[Column1]]="დასაბეგრი",Table2[[#This Row],[მიღებული ავანსი]]/1.18*0.18,0)</f>
        <v>0</v>
      </c>
    </row>
    <row r="7" spans="1:8" x14ac:dyDescent="0.25">
      <c r="A7" t="s">
        <v>223</v>
      </c>
      <c r="B7" t="s">
        <v>204</v>
      </c>
      <c r="C7" t="s">
        <v>222</v>
      </c>
      <c r="E7">
        <v>50</v>
      </c>
      <c r="F7">
        <f>240</f>
        <v>240</v>
      </c>
      <c r="G7">
        <f>Table2[[#This Row],[ ღირებულება]]-Table2[[#This Row],[მიღებული ავანსი]]</f>
        <v>190</v>
      </c>
      <c r="H7" s="60">
        <f>IF(Table2[[#This Row],[Column1]]="დასაბეგრი",Table2[[#This Row],[მიღებული ავანსი]]/1.18*0.18,0)</f>
        <v>0</v>
      </c>
    </row>
    <row r="8" spans="1:8" x14ac:dyDescent="0.25">
      <c r="A8" t="s">
        <v>220</v>
      </c>
      <c r="B8" t="s">
        <v>213</v>
      </c>
      <c r="C8" t="s">
        <v>221</v>
      </c>
      <c r="E8">
        <v>50</v>
      </c>
      <c r="F8">
        <f>76.27</f>
        <v>76.27</v>
      </c>
      <c r="G8">
        <f>Table2[[#This Row],[ ღირებულება]]-Table2[[#This Row],[მიღებული ავანსი]]</f>
        <v>26.269999999999996</v>
      </c>
      <c r="H8" s="60">
        <f>IF(Table2[[#This Row],[Column1]]="დასაბეგრი",Table2[[#This Row],[მიღებული ავანსი]]/1.18*0.18,0)</f>
        <v>0</v>
      </c>
    </row>
    <row r="9" spans="1:8" x14ac:dyDescent="0.25">
      <c r="A9" t="s">
        <v>220</v>
      </c>
      <c r="B9" t="s">
        <v>219</v>
      </c>
      <c r="C9" t="s">
        <v>218</v>
      </c>
      <c r="E9">
        <f>40</f>
        <v>40</v>
      </c>
      <c r="F9">
        <v>140</v>
      </c>
      <c r="G9">
        <f>Table2[[#This Row],[ ღირებულება]]-Table2[[#This Row],[მიღებული ავანსი]]</f>
        <v>100</v>
      </c>
      <c r="H9" s="60">
        <f>IF(Table2[[#This Row],[Column1]]="დასაბეგრი",Table2[[#This Row],[მიღებული ავანსი]]/1.18*0.18,0)</f>
        <v>0</v>
      </c>
    </row>
    <row r="10" spans="1:8" x14ac:dyDescent="0.25">
      <c r="A10" t="s">
        <v>209</v>
      </c>
      <c r="B10" t="s">
        <v>204</v>
      </c>
      <c r="C10" t="s">
        <v>217</v>
      </c>
      <c r="E10">
        <v>100</v>
      </c>
      <c r="F10">
        <v>240</v>
      </c>
      <c r="G10">
        <f>Table2[[#This Row],[ ღირებულება]]-Table2[[#This Row],[მიღებული ავანსი]]</f>
        <v>140</v>
      </c>
      <c r="H10" s="60">
        <f>IF(Table2[[#This Row],[Column1]]="დასაბეგრი",Table2[[#This Row],[მიღებული ავანსი]]/1.18*0.18,0)</f>
        <v>0</v>
      </c>
    </row>
    <row r="11" spans="1:8" x14ac:dyDescent="0.25">
      <c r="A11" t="s">
        <v>209</v>
      </c>
      <c r="B11" t="s">
        <v>216</v>
      </c>
      <c r="C11" t="s">
        <v>215</v>
      </c>
      <c r="E11">
        <v>210</v>
      </c>
      <c r="F11">
        <v>210</v>
      </c>
      <c r="G11">
        <f>Table2[[#This Row],[ ღირებულება]]-Table2[[#This Row],[მიღებული ავანსი]]</f>
        <v>0</v>
      </c>
      <c r="H11" s="60">
        <f>IF(Table2[[#This Row],[Column1]]="დასაბეგრი",Table2[[#This Row],[მიღებული ავანსი]]/1.18*0.18,0)</f>
        <v>0</v>
      </c>
    </row>
    <row r="12" spans="1:8" x14ac:dyDescent="0.25">
      <c r="A12" t="s">
        <v>209</v>
      </c>
      <c r="B12" t="s">
        <v>213</v>
      </c>
      <c r="C12" t="s">
        <v>214</v>
      </c>
      <c r="E12">
        <v>350</v>
      </c>
      <c r="F12">
        <f>140+210</f>
        <v>350</v>
      </c>
      <c r="G12">
        <f>Table2[[#This Row],[ ღირებულება]]-Table2[[#This Row],[მიღებული ავანსი]]</f>
        <v>0</v>
      </c>
      <c r="H12" s="60">
        <f>IF(Table2[[#This Row],[Column1]]="დასაბეგრი",Table2[[#This Row],[მიღებული ავანსი]]/1.18*0.18,0)</f>
        <v>0</v>
      </c>
    </row>
    <row r="13" spans="1:8" x14ac:dyDescent="0.25">
      <c r="A13" t="s">
        <v>209</v>
      </c>
      <c r="B13" t="s">
        <v>213</v>
      </c>
      <c r="C13" t="s">
        <v>212</v>
      </c>
      <c r="E13">
        <v>70</v>
      </c>
      <c r="F13">
        <v>120</v>
      </c>
      <c r="G13">
        <f>Table2[[#This Row],[ ღირებულება]]-Table2[[#This Row],[მიღებული ავანსი]]</f>
        <v>50</v>
      </c>
      <c r="H13" s="60">
        <f>IF(Table2[[#This Row],[Column1]]="დასაბეგრი",Table2[[#This Row],[მიღებული ავანსი]]/1.18*0.18,0)</f>
        <v>0</v>
      </c>
    </row>
    <row r="14" spans="1:8" x14ac:dyDescent="0.25">
      <c r="A14" t="s">
        <v>209</v>
      </c>
      <c r="B14" t="s">
        <v>211</v>
      </c>
      <c r="C14" t="s">
        <v>210</v>
      </c>
      <c r="E14">
        <f>180</f>
        <v>180</v>
      </c>
      <c r="F14">
        <f>180</f>
        <v>180</v>
      </c>
      <c r="G14">
        <f>Table2[[#This Row],[ ღირებულება]]-Table2[[#This Row],[მიღებული ავანსი]]</f>
        <v>0</v>
      </c>
      <c r="H14" s="60">
        <f>IF(Table2[[#This Row],[Column1]]="დასაბეგრი",Table2[[#This Row],[მიღებული ავანსი]]/1.18*0.18,0)</f>
        <v>0</v>
      </c>
    </row>
    <row r="15" spans="1:8" x14ac:dyDescent="0.25">
      <c r="A15" t="s">
        <v>209</v>
      </c>
      <c r="B15" t="s">
        <v>208</v>
      </c>
      <c r="C15" t="s">
        <v>207</v>
      </c>
      <c r="E15">
        <f>310</f>
        <v>310</v>
      </c>
      <c r="F15">
        <v>310</v>
      </c>
      <c r="G15">
        <f>Table2[[#This Row],[ ღირებულება]]-Table2[[#This Row],[მიღებული ავანსი]]</f>
        <v>0</v>
      </c>
      <c r="H15" s="60">
        <f>IF(Table2[[#This Row],[Column1]]="დასაბეგრი",Table2[[#This Row],[მიღებული ავანსი]]/1.18*0.18,0)</f>
        <v>0</v>
      </c>
    </row>
    <row r="16" spans="1:8" x14ac:dyDescent="0.25">
      <c r="A16" t="s">
        <v>205</v>
      </c>
      <c r="B16" t="s">
        <v>204</v>
      </c>
      <c r="C16" t="s">
        <v>206</v>
      </c>
      <c r="E16">
        <v>100</v>
      </c>
      <c r="F16">
        <v>125</v>
      </c>
      <c r="G16">
        <f>Table2[[#This Row],[ ღირებულება]]-Table2[[#This Row],[მიღებული ავანსი]]</f>
        <v>25</v>
      </c>
      <c r="H16" s="60">
        <f>IF(Table2[[#This Row],[Column1]]="დასაბეგრი",Table2[[#This Row],[მიღებული ავანსი]]/1.18*0.18,0)</f>
        <v>0</v>
      </c>
    </row>
    <row r="17" spans="1:8" x14ac:dyDescent="0.25">
      <c r="A17" t="s">
        <v>205</v>
      </c>
      <c r="B17" t="s">
        <v>204</v>
      </c>
      <c r="C17" t="s">
        <v>203</v>
      </c>
      <c r="E17">
        <v>75</v>
      </c>
      <c r="F17">
        <v>75</v>
      </c>
      <c r="G17">
        <f>Table2[[#This Row],[ ღირებულება]]-Table2[[#This Row],[მიღებული ავანსი]]</f>
        <v>0</v>
      </c>
      <c r="H17" s="60">
        <f>IF(Table2[[#This Row],[Column1]]="დასაბეგრი",Table2[[#This Row],[მიღებული ავანსი]]/1.18*0.18,0)</f>
        <v>0</v>
      </c>
    </row>
    <row r="18" spans="1:8" ht="17.25" x14ac:dyDescent="0.3">
      <c r="E18" s="64">
        <f>SUBTOTAL(109,E2:E17)</f>
        <v>2167.5500000000002</v>
      </c>
      <c r="F18" s="64">
        <f>SUBTOTAL(109,F2:F17)</f>
        <v>2888.8199999999997</v>
      </c>
      <c r="G18" s="64">
        <f>SUBTOTAL(109,G2:G17)</f>
        <v>721.27</v>
      </c>
      <c r="H18" s="63">
        <f>SUBTOTAL(109,H2:H17)</f>
        <v>3.0508474576271185</v>
      </c>
    </row>
    <row r="20" spans="1:8" x14ac:dyDescent="0.25">
      <c r="A20" s="62" t="s">
        <v>202</v>
      </c>
    </row>
    <row r="21" spans="1:8" x14ac:dyDescent="0.25">
      <c r="A21" s="61" t="s">
        <v>201</v>
      </c>
    </row>
  </sheetData>
  <dataValidations count="1">
    <dataValidation type="list" allowBlank="1" showInputMessage="1" showErrorMessage="1" sqref="D2:D17" xr:uid="{00000000-0002-0000-0800-000000000000}">
      <formula1>$A$20:$A$21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სამახსოვრო</vt:lpstr>
      <vt:lpstr>if function 1</vt:lpstr>
      <vt:lpstr>If function 3</vt:lpstr>
      <vt:lpstr>if 4</vt:lpstr>
      <vt:lpstr>If 5</vt:lpstr>
      <vt:lpstr>AND &amp; OR &amp; NOT</vt:lpstr>
      <vt:lpstr>Cell Refferences</vt:lpstr>
      <vt:lpstr>IF AND OR</vt:lpstr>
      <vt:lpstr>if function in 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2026-03-30T16:46:42Z</dcterms:modified>
</cp:coreProperties>
</file>